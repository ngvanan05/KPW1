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715B318-3FE6-4835-99F7-1A1D35380371}" xr6:coauthVersionLast="47" xr6:coauthVersionMax="47" xr10:uidLastSave="{00000000-0000-0000-0000-000000000000}"/>
  <bookViews>
    <workbookView xWindow="-108" yWindow="-108" windowWidth="23256" windowHeight="12456" xr2:uid="{43D2932F-85CA-4644-A8EF-C400D1129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0" i="1" l="1"/>
  <c r="T48" i="1"/>
  <c r="S48" i="1"/>
  <c r="H48" i="1"/>
  <c r="G48" i="1"/>
  <c r="X36" i="1"/>
  <c r="X37" i="1" s="1"/>
  <c r="T36" i="1"/>
  <c r="T37" i="1" s="1"/>
  <c r="L36" i="1"/>
  <c r="L37" i="1" s="1"/>
  <c r="H36" i="1"/>
  <c r="H37" i="1" s="1"/>
  <c r="Z35" i="1"/>
  <c r="Y35" i="1"/>
  <c r="Y36" i="1" s="1"/>
  <c r="Y37" i="1" s="1"/>
  <c r="X35" i="1"/>
  <c r="W35" i="1"/>
  <c r="V35" i="1"/>
  <c r="U35" i="1"/>
  <c r="T35" i="1"/>
  <c r="S35" i="1"/>
  <c r="R35" i="1"/>
  <c r="Q35" i="1"/>
  <c r="P35" i="1"/>
  <c r="O35" i="1"/>
  <c r="N35" i="1"/>
  <c r="M35" i="1"/>
  <c r="M36" i="1" s="1"/>
  <c r="M37" i="1" s="1"/>
  <c r="L35" i="1"/>
  <c r="K35" i="1"/>
  <c r="J35" i="1"/>
  <c r="I35" i="1"/>
  <c r="H35" i="1"/>
  <c r="G35" i="1"/>
  <c r="F35" i="1"/>
  <c r="E35" i="1"/>
  <c r="D35" i="1"/>
  <c r="C35" i="1"/>
  <c r="B35" i="1"/>
  <c r="Z34" i="1"/>
  <c r="Z36" i="1" s="1"/>
  <c r="Z37" i="1" s="1"/>
  <c r="Y34" i="1"/>
  <c r="X34" i="1"/>
  <c r="W34" i="1"/>
  <c r="W36" i="1" s="1"/>
  <c r="W37" i="1" s="1"/>
  <c r="V34" i="1"/>
  <c r="V36" i="1" s="1"/>
  <c r="V37" i="1" s="1"/>
  <c r="U34" i="1"/>
  <c r="U36" i="1" s="1"/>
  <c r="U37" i="1" s="1"/>
  <c r="T34" i="1"/>
  <c r="S34" i="1"/>
  <c r="S36" i="1" s="1"/>
  <c r="S37" i="1" s="1"/>
  <c r="R34" i="1"/>
  <c r="R36" i="1" s="1"/>
  <c r="R37" i="1" s="1"/>
  <c r="Q34" i="1"/>
  <c r="Q36" i="1" s="1"/>
  <c r="Q37" i="1" s="1"/>
  <c r="P34" i="1"/>
  <c r="P36" i="1" s="1"/>
  <c r="P37" i="1" s="1"/>
  <c r="O34" i="1"/>
  <c r="O36" i="1" s="1"/>
  <c r="O37" i="1" s="1"/>
  <c r="N34" i="1"/>
  <c r="N36" i="1" s="1"/>
  <c r="N37" i="1" s="1"/>
  <c r="M34" i="1"/>
  <c r="L34" i="1"/>
  <c r="K34" i="1"/>
  <c r="K36" i="1" s="1"/>
  <c r="K37" i="1" s="1"/>
  <c r="J34" i="1"/>
  <c r="J36" i="1" s="1"/>
  <c r="J37" i="1" s="1"/>
  <c r="I34" i="1"/>
  <c r="I36" i="1" s="1"/>
  <c r="I37" i="1" s="1"/>
  <c r="H34" i="1"/>
  <c r="G34" i="1"/>
  <c r="G36" i="1" s="1"/>
  <c r="G37" i="1" s="1"/>
  <c r="F34" i="1"/>
  <c r="F36" i="1" s="1"/>
  <c r="F37" i="1" s="1"/>
  <c r="E34" i="1"/>
  <c r="E36" i="1" s="1"/>
  <c r="E37" i="1" s="1"/>
  <c r="D34" i="1"/>
  <c r="D36" i="1" s="1"/>
  <c r="D37" i="1" s="1"/>
  <c r="C34" i="1"/>
  <c r="C36" i="1" s="1"/>
  <c r="C37" i="1" s="1"/>
  <c r="B34" i="1"/>
  <c r="B36" i="1" s="1"/>
  <c r="B37" i="1" s="1"/>
  <c r="W29" i="1"/>
  <c r="W48" i="1" s="1"/>
  <c r="T29" i="1"/>
  <c r="S29" i="1"/>
  <c r="R29" i="1"/>
  <c r="R48" i="1" s="1"/>
  <c r="Q29" i="1"/>
  <c r="Q48" i="1" s="1"/>
  <c r="P29" i="1"/>
  <c r="P48" i="1" s="1"/>
  <c r="O29" i="1"/>
  <c r="O48" i="1" s="1"/>
  <c r="K29" i="1"/>
  <c r="K48" i="1" s="1"/>
  <c r="H29" i="1"/>
  <c r="G29" i="1"/>
  <c r="F29" i="1"/>
  <c r="F48" i="1" s="1"/>
  <c r="E29" i="1"/>
  <c r="E48" i="1" s="1"/>
  <c r="D29" i="1"/>
  <c r="D48" i="1" s="1"/>
  <c r="C29" i="1"/>
  <c r="C48" i="1" s="1"/>
  <c r="B26" i="1"/>
  <c r="Z29" i="1" s="1"/>
  <c r="Z48" i="1" s="1"/>
  <c r="T23" i="1"/>
  <c r="T42" i="1" s="1"/>
  <c r="S23" i="1"/>
  <c r="S42" i="1" s="1"/>
  <c r="R23" i="1"/>
  <c r="R42" i="1" s="1"/>
  <c r="Q23" i="1"/>
  <c r="Q42" i="1" s="1"/>
  <c r="H23" i="1"/>
  <c r="H42" i="1" s="1"/>
  <c r="G23" i="1"/>
  <c r="G42" i="1" s="1"/>
  <c r="F23" i="1"/>
  <c r="F42" i="1" s="1"/>
  <c r="E23" i="1"/>
  <c r="E42" i="1" s="1"/>
  <c r="B20" i="1"/>
  <c r="P23" i="1" s="1"/>
  <c r="P42" i="1" s="1"/>
  <c r="C49" i="1" l="1"/>
  <c r="C43" i="1"/>
  <c r="H43" i="1"/>
  <c r="H44" i="1" s="1"/>
  <c r="H54" i="1" s="1"/>
  <c r="H49" i="1"/>
  <c r="B49" i="1"/>
  <c r="B43" i="1"/>
  <c r="E44" i="1"/>
  <c r="E54" i="1" s="1"/>
  <c r="L49" i="1"/>
  <c r="L43" i="1"/>
  <c r="F43" i="1"/>
  <c r="F44" i="1" s="1"/>
  <c r="F54" i="1" s="1"/>
  <c r="F49" i="1"/>
  <c r="F50" i="1" s="1"/>
  <c r="F55" i="1" s="1"/>
  <c r="T43" i="1"/>
  <c r="T49" i="1"/>
  <c r="M49" i="1"/>
  <c r="M43" i="1"/>
  <c r="P49" i="1"/>
  <c r="P55" i="1" s="1"/>
  <c r="P43" i="1"/>
  <c r="P44" i="1" s="1"/>
  <c r="P54" i="1" s="1"/>
  <c r="O50" i="1"/>
  <c r="O55" i="1" s="1"/>
  <c r="S43" i="1"/>
  <c r="S44" i="1" s="1"/>
  <c r="S54" i="1" s="1"/>
  <c r="S49" i="1"/>
  <c r="S50" i="1" s="1"/>
  <c r="S55" i="1" s="1"/>
  <c r="X49" i="1"/>
  <c r="X43" i="1"/>
  <c r="Y49" i="1"/>
  <c r="Y43" i="1"/>
  <c r="D49" i="1"/>
  <c r="D50" i="1" s="1"/>
  <c r="D55" i="1" s="1"/>
  <c r="D43" i="1"/>
  <c r="R43" i="1"/>
  <c r="R49" i="1"/>
  <c r="R50" i="1" s="1"/>
  <c r="R55" i="1" s="1"/>
  <c r="Q44" i="1"/>
  <c r="Q54" i="1" s="1"/>
  <c r="G43" i="1"/>
  <c r="G44" i="1" s="1"/>
  <c r="G54" i="1" s="1"/>
  <c r="G49" i="1"/>
  <c r="G50" i="1" s="1"/>
  <c r="G55" i="1" s="1"/>
  <c r="R44" i="1"/>
  <c r="R54" i="1" s="1"/>
  <c r="O49" i="1"/>
  <c r="O43" i="1"/>
  <c r="I43" i="1"/>
  <c r="I49" i="1"/>
  <c r="U49" i="1"/>
  <c r="U43" i="1"/>
  <c r="H50" i="1"/>
  <c r="H55" i="1" s="1"/>
  <c r="Z49" i="1"/>
  <c r="Z43" i="1"/>
  <c r="E49" i="1"/>
  <c r="E43" i="1"/>
  <c r="V43" i="1"/>
  <c r="V49" i="1"/>
  <c r="C50" i="1"/>
  <c r="C55" i="1" s="1"/>
  <c r="E50" i="1"/>
  <c r="E55" i="1" s="1"/>
  <c r="N49" i="1"/>
  <c r="N43" i="1"/>
  <c r="Q49" i="1"/>
  <c r="Q43" i="1"/>
  <c r="Q50" i="1"/>
  <c r="Q55" i="1" s="1"/>
  <c r="T44" i="1"/>
  <c r="T54" i="1" s="1"/>
  <c r="J43" i="1"/>
  <c r="J49" i="1"/>
  <c r="Z50" i="1"/>
  <c r="Z55" i="1" s="1"/>
  <c r="K49" i="1"/>
  <c r="K50" i="1" s="1"/>
  <c r="K55" i="1" s="1"/>
  <c r="K43" i="1"/>
  <c r="W49" i="1"/>
  <c r="W50" i="1" s="1"/>
  <c r="W55" i="1" s="1"/>
  <c r="W43" i="1"/>
  <c r="T50" i="1"/>
  <c r="T55" i="1" s="1"/>
  <c r="U23" i="1"/>
  <c r="U42" i="1" s="1"/>
  <c r="J23" i="1"/>
  <c r="J42" i="1" s="1"/>
  <c r="K23" i="1"/>
  <c r="K42" i="1" s="1"/>
  <c r="W23" i="1"/>
  <c r="W42" i="1" s="1"/>
  <c r="W44" i="1" s="1"/>
  <c r="W54" i="1" s="1"/>
  <c r="I29" i="1"/>
  <c r="I48" i="1" s="1"/>
  <c r="U29" i="1"/>
  <c r="U48" i="1" s="1"/>
  <c r="I23" i="1"/>
  <c r="I42" i="1" s="1"/>
  <c r="I44" i="1" s="1"/>
  <c r="I54" i="1" s="1"/>
  <c r="V23" i="1"/>
  <c r="V42" i="1" s="1"/>
  <c r="V44" i="1" s="1"/>
  <c r="V54" i="1" s="1"/>
  <c r="L23" i="1"/>
  <c r="L42" i="1" s="1"/>
  <c r="L44" i="1" s="1"/>
  <c r="L54" i="1" s="1"/>
  <c r="X23" i="1"/>
  <c r="X42" i="1" s="1"/>
  <c r="X44" i="1" s="1"/>
  <c r="X54" i="1" s="1"/>
  <c r="J29" i="1"/>
  <c r="J48" i="1" s="1"/>
  <c r="V29" i="1"/>
  <c r="V48" i="1" s="1"/>
  <c r="M23" i="1"/>
  <c r="M42" i="1" s="1"/>
  <c r="B23" i="1"/>
  <c r="B42" i="1" s="1"/>
  <c r="N23" i="1"/>
  <c r="N42" i="1" s="1"/>
  <c r="Z23" i="1"/>
  <c r="Z42" i="1" s="1"/>
  <c r="Z44" i="1" s="1"/>
  <c r="Z54" i="1" s="1"/>
  <c r="L29" i="1"/>
  <c r="L48" i="1" s="1"/>
  <c r="X29" i="1"/>
  <c r="X48" i="1" s="1"/>
  <c r="M29" i="1"/>
  <c r="M48" i="1" s="1"/>
  <c r="M50" i="1" s="1"/>
  <c r="M55" i="1" s="1"/>
  <c r="Y29" i="1"/>
  <c r="Y48" i="1" s="1"/>
  <c r="Y50" i="1" s="1"/>
  <c r="Y55" i="1" s="1"/>
  <c r="Y23" i="1"/>
  <c r="Y42" i="1" s="1"/>
  <c r="Y44" i="1" s="1"/>
  <c r="Y54" i="1" s="1"/>
  <c r="C23" i="1"/>
  <c r="C42" i="1" s="1"/>
  <c r="C44" i="1" s="1"/>
  <c r="C54" i="1" s="1"/>
  <c r="O23" i="1"/>
  <c r="O42" i="1" s="1"/>
  <c r="D23" i="1"/>
  <c r="D42" i="1" s="1"/>
  <c r="B29" i="1"/>
  <c r="B48" i="1" s="1"/>
  <c r="N29" i="1"/>
  <c r="N48" i="1" s="1"/>
  <c r="L50" i="1" l="1"/>
  <c r="L55" i="1" s="1"/>
  <c r="U50" i="1"/>
  <c r="U55" i="1" s="1"/>
  <c r="B44" i="1"/>
  <c r="B54" i="1" s="1"/>
  <c r="X50" i="1"/>
  <c r="X55" i="1" s="1"/>
  <c r="N44" i="1"/>
  <c r="N54" i="1" s="1"/>
  <c r="B50" i="1"/>
  <c r="B55" i="1" s="1"/>
  <c r="U44" i="1"/>
  <c r="U54" i="1" s="1"/>
  <c r="K44" i="1"/>
  <c r="K54" i="1" s="1"/>
  <c r="V50" i="1"/>
  <c r="V55" i="1" s="1"/>
  <c r="I50" i="1"/>
  <c r="I55" i="1" s="1"/>
  <c r="N50" i="1"/>
  <c r="N55" i="1" s="1"/>
  <c r="J44" i="1"/>
  <c r="J54" i="1" s="1"/>
  <c r="M44" i="1"/>
  <c r="M54" i="1" s="1"/>
  <c r="D44" i="1"/>
  <c r="D54" i="1" s="1"/>
  <c r="O44" i="1"/>
  <c r="O54" i="1" s="1"/>
  <c r="J50" i="1"/>
  <c r="J55" i="1" s="1"/>
</calcChain>
</file>

<file path=xl/sharedStrings.xml><?xml version="1.0" encoding="utf-8"?>
<sst xmlns="http://schemas.openxmlformats.org/spreadsheetml/2006/main" count="226" uniqueCount="55">
  <si>
    <t>ĐỀ 1</t>
  </si>
  <si>
    <t>STT: 01</t>
  </si>
  <si>
    <t>d1=”huấn_luyện_viên chỉ_đạo các cầu_thủ đội_bóng tập_luyện chăm_chỉ để nâng_cao kỹ_năng ghi bàn_thắng trong trận_đấu”</t>
  </si>
  <si>
    <t>d2=”trận_đấu giữa hai đội_bóng diễn_ra rất kịch_tính khi các cầu_thủ liên_tục tạo cơ_hội ghi bàn_thắng cho đội_mình”</t>
  </si>
  <si>
    <t xml:space="preserve"> Từ 2 câu trên, tiến hành xây dựng từ điển chứa các từ xuất hiện trong từng câu.</t>
  </si>
  <si>
    <t>W = {bàn_thắng, các, cầu_thủ, chăm_chỉ, chỉ_đạo, cho, cơ_hội, để, diễn_ra, đội_bóng, đội_mình, ghi, giữa, hai, huấn_luyện_viên, khi, kịch_tính, kỹ_năng, liên_tục, nâng_cao, rất, tạo, tập_luyện, trận_đấu, trong}</t>
  </si>
  <si>
    <t>Câu a. Bag-of-Words</t>
  </si>
  <si>
    <t>Sentences</t>
  </si>
  <si>
    <t>bàn_thắng</t>
  </si>
  <si>
    <t>các</t>
  </si>
  <si>
    <t>cầu_thủ</t>
  </si>
  <si>
    <t>chăm_chỉ</t>
  </si>
  <si>
    <t>chỉ_đạo</t>
  </si>
  <si>
    <t>cho</t>
  </si>
  <si>
    <t>cơ_hội</t>
  </si>
  <si>
    <t>để</t>
  </si>
  <si>
    <t>diễn_ra</t>
  </si>
  <si>
    <t>đội_bóng</t>
  </si>
  <si>
    <t>đội_mình</t>
  </si>
  <si>
    <t>ghi</t>
  </si>
  <si>
    <t>giữa</t>
  </si>
  <si>
    <t>hai</t>
  </si>
  <si>
    <t>huấn_luyện_viên</t>
  </si>
  <si>
    <t>khi</t>
  </si>
  <si>
    <t>kịch_tính</t>
  </si>
  <si>
    <t>kỹ_năng</t>
  </si>
  <si>
    <t>liên_tục</t>
  </si>
  <si>
    <t>nâng_cao</t>
  </si>
  <si>
    <t>rất</t>
  </si>
  <si>
    <t>tạo</t>
  </si>
  <si>
    <t>tập_luyện</t>
  </si>
  <si>
    <t>trận_đấu</t>
  </si>
  <si>
    <t>trong</t>
  </si>
  <si>
    <t>d1</t>
  </si>
  <si>
    <t>d2</t>
  </si>
  <si>
    <t>Câu b. TF-IDF</t>
  </si>
  <si>
    <t>D = {d1, d2}</t>
  </si>
  <si>
    <t>Bước 1, Xây dựng tập từ vựng có trong corpus:</t>
  </si>
  <si>
    <t xml:space="preserve">Bước 2: Tính TF.  </t>
  </si>
  <si>
    <t>huấn_luyện_viên chỉ_đạo các cầu_thủ đội_bóng tập_luyện chăm_chỉ để nâng_cao kỹ_năng ghi bàn_thắng trong trận_đấu</t>
  </si>
  <si>
    <t>Tổng số từ trong d1</t>
  </si>
  <si>
    <t>wk</t>
  </si>
  <si>
    <t>Số lần xuất hiện</t>
  </si>
  <si>
    <t>TF(wk,d1)</t>
  </si>
  <si>
    <t>trận_đấu giữa hai đội_bóng diễn_ra rất kịch_tính khi các cầu_thủ liên_tục tạo cơ_hội ghi bàn_thắng cho đội_mình</t>
  </si>
  <si>
    <t>Tổng số từ trong d2</t>
  </si>
  <si>
    <t>TF(wk,d2)</t>
  </si>
  <si>
    <t>Bước 3: Tính IDF</t>
  </si>
  <si>
    <t>Tổng số câu văn bản trong tập D</t>
  </si>
  <si>
    <t>Số câu xuất hiện wk</t>
  </si>
  <si>
    <t>IDF(wk,D)</t>
  </si>
  <si>
    <t>Bước 4: Tính TF-IDF</t>
  </si>
  <si>
    <t>TF-IDF(wk,d1,D)</t>
  </si>
  <si>
    <t>TF-IDF(wk,d2,D)</t>
  </si>
  <si>
    <t>Vector TF-IDF của các câu trong corpus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</si>
</sst>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3" fillId="3" borderId="0" xfId="0" applyFont="1" applyFill="1"/>
    <xf numFmtId="0" fontId="5" fillId="3" borderId="1" xfId="0" applyFont="1" applyFill="1" applyBorder="1"/>
    <xf numFmtId="164" fontId="4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A13B-1D9E-4072-919E-01F5842883A5}">
  <dimension ref="A1:Z55"/>
  <sheetViews>
    <sheetView tabSelected="1" zoomScale="85" zoomScaleNormal="85" workbookViewId="0">
      <selection activeCell="L4" sqref="L4"/>
    </sheetView>
  </sheetViews>
  <sheetFormatPr defaultRowHeight="14.4" x14ac:dyDescent="0.3"/>
  <cols>
    <col min="1" max="1" width="23" customWidth="1"/>
    <col min="2" max="15" width="14" customWidth="1"/>
    <col min="16" max="16" width="17.33203125" customWidth="1"/>
    <col min="17" max="26" width="14" customWidth="1"/>
  </cols>
  <sheetData>
    <row r="1" spans="1:26" ht="18" x14ac:dyDescent="0.35">
      <c r="A1" s="1" t="s">
        <v>0</v>
      </c>
    </row>
    <row r="2" spans="1:26" x14ac:dyDescent="0.3">
      <c r="A2" s="2" t="s">
        <v>1</v>
      </c>
    </row>
    <row r="3" spans="1:26" ht="15.6" x14ac:dyDescent="0.3">
      <c r="A3" s="3" t="s">
        <v>2</v>
      </c>
    </row>
    <row r="4" spans="1:26" ht="15.6" x14ac:dyDescent="0.3">
      <c r="A4" s="3" t="s">
        <v>3</v>
      </c>
    </row>
    <row r="6" spans="1:26" x14ac:dyDescent="0.3">
      <c r="A6" s="4" t="s">
        <v>4</v>
      </c>
    </row>
    <row r="7" spans="1:26" x14ac:dyDescent="0.3">
      <c r="A7" t="s">
        <v>5</v>
      </c>
    </row>
    <row r="9" spans="1:26" ht="15.6" x14ac:dyDescent="0.3">
      <c r="A9" s="5" t="s">
        <v>6</v>
      </c>
    </row>
    <row r="10" spans="1:26" x14ac:dyDescent="0.3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  <c r="H10" s="6" t="s">
        <v>14</v>
      </c>
      <c r="I10" s="6" t="s">
        <v>15</v>
      </c>
      <c r="J10" s="6" t="s">
        <v>16</v>
      </c>
      <c r="K10" s="6" t="s">
        <v>17</v>
      </c>
      <c r="L10" s="6" t="s">
        <v>18</v>
      </c>
      <c r="M10" s="6" t="s">
        <v>19</v>
      </c>
      <c r="N10" s="6" t="s">
        <v>20</v>
      </c>
      <c r="O10" s="6" t="s">
        <v>21</v>
      </c>
      <c r="P10" s="6" t="s">
        <v>22</v>
      </c>
      <c r="Q10" s="6" t="s">
        <v>23</v>
      </c>
      <c r="R10" s="6" t="s">
        <v>24</v>
      </c>
      <c r="S10" s="6" t="s">
        <v>25</v>
      </c>
      <c r="T10" s="6" t="s">
        <v>26</v>
      </c>
      <c r="U10" s="6" t="s">
        <v>27</v>
      </c>
      <c r="V10" s="6" t="s">
        <v>28</v>
      </c>
      <c r="W10" s="6" t="s">
        <v>29</v>
      </c>
      <c r="X10" s="6" t="s">
        <v>30</v>
      </c>
      <c r="Y10" s="6" t="s">
        <v>31</v>
      </c>
      <c r="Z10" s="6" t="s">
        <v>32</v>
      </c>
    </row>
    <row r="11" spans="1:26" x14ac:dyDescent="0.3">
      <c r="A11" s="7" t="s">
        <v>33</v>
      </c>
      <c r="B11" s="8">
        <v>1</v>
      </c>
      <c r="C11" s="8">
        <v>1</v>
      </c>
      <c r="D11" s="8">
        <v>1</v>
      </c>
      <c r="E11" s="8">
        <v>1</v>
      </c>
      <c r="F11" s="8">
        <v>1</v>
      </c>
      <c r="G11" s="8">
        <v>0</v>
      </c>
      <c r="H11" s="8">
        <v>0</v>
      </c>
      <c r="I11" s="8">
        <v>1</v>
      </c>
      <c r="J11" s="8">
        <v>0</v>
      </c>
      <c r="K11" s="8">
        <v>1</v>
      </c>
      <c r="L11" s="8">
        <v>0</v>
      </c>
      <c r="M11" s="8">
        <v>1</v>
      </c>
      <c r="N11" s="8">
        <v>0</v>
      </c>
      <c r="O11" s="8">
        <v>0</v>
      </c>
      <c r="P11" s="8">
        <v>1</v>
      </c>
      <c r="Q11" s="8">
        <v>0</v>
      </c>
      <c r="R11" s="8">
        <v>0</v>
      </c>
      <c r="S11" s="8">
        <v>1</v>
      </c>
      <c r="T11" s="8">
        <v>0</v>
      </c>
      <c r="U11" s="8">
        <v>1</v>
      </c>
      <c r="V11" s="8">
        <v>0</v>
      </c>
      <c r="W11" s="8">
        <v>0</v>
      </c>
      <c r="X11" s="8">
        <v>1</v>
      </c>
      <c r="Y11" s="8">
        <v>1</v>
      </c>
      <c r="Z11" s="8">
        <v>1</v>
      </c>
    </row>
    <row r="12" spans="1:26" x14ac:dyDescent="0.3">
      <c r="A12" s="7" t="s">
        <v>34</v>
      </c>
      <c r="B12" s="8">
        <v>1</v>
      </c>
      <c r="C12" s="8">
        <v>1</v>
      </c>
      <c r="D12" s="8">
        <v>1</v>
      </c>
      <c r="E12" s="8">
        <v>0</v>
      </c>
      <c r="F12" s="8">
        <v>0</v>
      </c>
      <c r="G12" s="8">
        <v>1</v>
      </c>
      <c r="H12" s="8">
        <v>1</v>
      </c>
      <c r="I12" s="8">
        <v>0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0</v>
      </c>
      <c r="Q12" s="8">
        <v>1</v>
      </c>
      <c r="R12" s="8">
        <v>1</v>
      </c>
      <c r="S12" s="8">
        <v>0</v>
      </c>
      <c r="T12" s="8">
        <v>1</v>
      </c>
      <c r="U12" s="8">
        <v>0</v>
      </c>
      <c r="V12" s="8">
        <v>1</v>
      </c>
      <c r="W12" s="8">
        <v>1</v>
      </c>
      <c r="X12" s="8">
        <v>0</v>
      </c>
      <c r="Y12" s="8">
        <v>1</v>
      </c>
      <c r="Z12" s="8">
        <v>0</v>
      </c>
    </row>
    <row r="14" spans="1:26" ht="15.6" x14ac:dyDescent="0.3">
      <c r="A14" s="5" t="s">
        <v>35</v>
      </c>
    </row>
    <row r="15" spans="1:26" s="9" customFormat="1" x14ac:dyDescent="0.3">
      <c r="A15" s="9" t="s">
        <v>36</v>
      </c>
    </row>
    <row r="16" spans="1:26" ht="15.6" x14ac:dyDescent="0.3">
      <c r="A16" s="10" t="s">
        <v>37</v>
      </c>
    </row>
    <row r="17" spans="1:26" x14ac:dyDescent="0.3">
      <c r="A17" t="s">
        <v>5</v>
      </c>
    </row>
    <row r="18" spans="1:26" x14ac:dyDescent="0.3">
      <c r="A18" s="9" t="s">
        <v>38</v>
      </c>
    </row>
    <row r="19" spans="1:26" x14ac:dyDescent="0.3">
      <c r="A19" s="9" t="s">
        <v>33</v>
      </c>
      <c r="B19" t="s">
        <v>39</v>
      </c>
    </row>
    <row r="20" spans="1:26" x14ac:dyDescent="0.3">
      <c r="A20" s="9" t="s">
        <v>40</v>
      </c>
      <c r="B20">
        <f>SUM(B22:Z22)</f>
        <v>14</v>
      </c>
    </row>
    <row r="21" spans="1:26" x14ac:dyDescent="0.3">
      <c r="A21" s="6" t="s">
        <v>41</v>
      </c>
      <c r="B21" s="6" t="s">
        <v>8</v>
      </c>
      <c r="C21" s="6" t="s">
        <v>9</v>
      </c>
      <c r="D21" s="6" t="s">
        <v>10</v>
      </c>
      <c r="E21" s="6" t="s">
        <v>11</v>
      </c>
      <c r="F21" s="6" t="s">
        <v>12</v>
      </c>
      <c r="G21" s="6" t="s">
        <v>13</v>
      </c>
      <c r="H21" s="6" t="s">
        <v>14</v>
      </c>
      <c r="I21" s="6" t="s">
        <v>15</v>
      </c>
      <c r="J21" s="6" t="s">
        <v>16</v>
      </c>
      <c r="K21" s="6" t="s">
        <v>17</v>
      </c>
      <c r="L21" s="6" t="s">
        <v>18</v>
      </c>
      <c r="M21" s="6" t="s">
        <v>19</v>
      </c>
      <c r="N21" s="6" t="s">
        <v>20</v>
      </c>
      <c r="O21" s="6" t="s">
        <v>21</v>
      </c>
      <c r="P21" s="6" t="s">
        <v>22</v>
      </c>
      <c r="Q21" s="6" t="s">
        <v>23</v>
      </c>
      <c r="R21" s="6" t="s">
        <v>24</v>
      </c>
      <c r="S21" s="6" t="s">
        <v>25</v>
      </c>
      <c r="T21" s="6" t="s">
        <v>26</v>
      </c>
      <c r="U21" s="6" t="s">
        <v>27</v>
      </c>
      <c r="V21" s="6" t="s">
        <v>28</v>
      </c>
      <c r="W21" s="6" t="s">
        <v>29</v>
      </c>
      <c r="X21" s="6" t="s">
        <v>30</v>
      </c>
      <c r="Y21" s="6" t="s">
        <v>31</v>
      </c>
      <c r="Z21" s="6" t="s">
        <v>32</v>
      </c>
    </row>
    <row r="22" spans="1:26" x14ac:dyDescent="0.3">
      <c r="A22" s="11" t="s">
        <v>42</v>
      </c>
      <c r="B22" s="8">
        <v>1</v>
      </c>
      <c r="C22" s="8">
        <v>1</v>
      </c>
      <c r="D22" s="8">
        <v>1</v>
      </c>
      <c r="E22" s="8">
        <v>1</v>
      </c>
      <c r="F22" s="8">
        <v>1</v>
      </c>
      <c r="G22" s="8">
        <v>0</v>
      </c>
      <c r="H22" s="8">
        <v>0</v>
      </c>
      <c r="I22" s="8">
        <v>1</v>
      </c>
      <c r="J22" s="8">
        <v>0</v>
      </c>
      <c r="K22" s="8">
        <v>1</v>
      </c>
      <c r="L22" s="8">
        <v>0</v>
      </c>
      <c r="M22" s="8">
        <v>1</v>
      </c>
      <c r="N22" s="8">
        <v>0</v>
      </c>
      <c r="O22" s="8">
        <v>0</v>
      </c>
      <c r="P22" s="8">
        <v>1</v>
      </c>
      <c r="Q22" s="8">
        <v>0</v>
      </c>
      <c r="R22" s="8">
        <v>0</v>
      </c>
      <c r="S22" s="8">
        <v>1</v>
      </c>
      <c r="T22" s="8">
        <v>0</v>
      </c>
      <c r="U22" s="8">
        <v>1</v>
      </c>
      <c r="V22" s="8">
        <v>0</v>
      </c>
      <c r="W22" s="8">
        <v>0</v>
      </c>
      <c r="X22" s="8">
        <v>1</v>
      </c>
      <c r="Y22" s="8">
        <v>1</v>
      </c>
      <c r="Z22" s="8">
        <v>1</v>
      </c>
    </row>
    <row r="23" spans="1:26" x14ac:dyDescent="0.3">
      <c r="A23" s="11" t="s">
        <v>43</v>
      </c>
      <c r="B23" s="12">
        <f>B22/$B$20</f>
        <v>7.1428571428571425E-2</v>
      </c>
      <c r="C23" s="12">
        <f>C22/$B$20</f>
        <v>7.1428571428571425E-2</v>
      </c>
      <c r="D23" s="12">
        <f t="shared" ref="D23:Z23" si="0">D22/$B$20</f>
        <v>7.1428571428571425E-2</v>
      </c>
      <c r="E23" s="12">
        <f t="shared" si="0"/>
        <v>7.1428571428571425E-2</v>
      </c>
      <c r="F23" s="12">
        <f t="shared" si="0"/>
        <v>7.1428571428571425E-2</v>
      </c>
      <c r="G23" s="12">
        <f t="shared" si="0"/>
        <v>0</v>
      </c>
      <c r="H23" s="12">
        <f t="shared" si="0"/>
        <v>0</v>
      </c>
      <c r="I23" s="12">
        <f t="shared" si="0"/>
        <v>7.1428571428571425E-2</v>
      </c>
      <c r="J23" s="12">
        <f t="shared" si="0"/>
        <v>0</v>
      </c>
      <c r="K23" s="12">
        <f t="shared" si="0"/>
        <v>7.1428571428571425E-2</v>
      </c>
      <c r="L23" s="12">
        <f t="shared" si="0"/>
        <v>0</v>
      </c>
      <c r="M23" s="12">
        <f t="shared" si="0"/>
        <v>7.1428571428571425E-2</v>
      </c>
      <c r="N23" s="12">
        <f t="shared" si="0"/>
        <v>0</v>
      </c>
      <c r="O23" s="12">
        <f t="shared" si="0"/>
        <v>0</v>
      </c>
      <c r="P23" s="12">
        <f t="shared" si="0"/>
        <v>7.1428571428571425E-2</v>
      </c>
      <c r="Q23" s="12">
        <f t="shared" si="0"/>
        <v>0</v>
      </c>
      <c r="R23" s="12">
        <f t="shared" si="0"/>
        <v>0</v>
      </c>
      <c r="S23" s="12">
        <f t="shared" si="0"/>
        <v>7.1428571428571425E-2</v>
      </c>
      <c r="T23" s="12">
        <f t="shared" si="0"/>
        <v>0</v>
      </c>
      <c r="U23" s="12">
        <f t="shared" si="0"/>
        <v>7.1428571428571425E-2</v>
      </c>
      <c r="V23" s="12">
        <f t="shared" si="0"/>
        <v>0</v>
      </c>
      <c r="W23" s="12">
        <f t="shared" si="0"/>
        <v>0</v>
      </c>
      <c r="X23" s="12">
        <f t="shared" si="0"/>
        <v>7.1428571428571425E-2</v>
      </c>
      <c r="Y23" s="12">
        <f t="shared" si="0"/>
        <v>7.1428571428571425E-2</v>
      </c>
      <c r="Z23" s="12">
        <f t="shared" si="0"/>
        <v>7.1428571428571425E-2</v>
      </c>
    </row>
    <row r="25" spans="1:26" x14ac:dyDescent="0.3">
      <c r="A25" s="9" t="s">
        <v>34</v>
      </c>
      <c r="B25" t="s">
        <v>44</v>
      </c>
    </row>
    <row r="26" spans="1:26" x14ac:dyDescent="0.3">
      <c r="A26" s="9" t="s">
        <v>45</v>
      </c>
      <c r="B26">
        <f>SUM(B28:Z28)</f>
        <v>17</v>
      </c>
    </row>
    <row r="27" spans="1:26" s="13" customFormat="1" x14ac:dyDescent="0.3">
      <c r="A27" s="6" t="s">
        <v>41</v>
      </c>
      <c r="B27" s="6" t="s">
        <v>8</v>
      </c>
      <c r="C27" s="6" t="s">
        <v>9</v>
      </c>
      <c r="D27" s="6" t="s">
        <v>10</v>
      </c>
      <c r="E27" s="6" t="s">
        <v>11</v>
      </c>
      <c r="F27" s="6" t="s">
        <v>12</v>
      </c>
      <c r="G27" s="6" t="s">
        <v>13</v>
      </c>
      <c r="H27" s="6" t="s">
        <v>14</v>
      </c>
      <c r="I27" s="6" t="s">
        <v>15</v>
      </c>
      <c r="J27" s="6" t="s">
        <v>16</v>
      </c>
      <c r="K27" s="6" t="s">
        <v>17</v>
      </c>
      <c r="L27" s="6" t="s">
        <v>18</v>
      </c>
      <c r="M27" s="6" t="s">
        <v>19</v>
      </c>
      <c r="N27" s="6" t="s">
        <v>20</v>
      </c>
      <c r="O27" s="6" t="s">
        <v>21</v>
      </c>
      <c r="P27" s="6" t="s">
        <v>22</v>
      </c>
      <c r="Q27" s="6" t="s">
        <v>23</v>
      </c>
      <c r="R27" s="6" t="s">
        <v>24</v>
      </c>
      <c r="S27" s="6" t="s">
        <v>25</v>
      </c>
      <c r="T27" s="6" t="s">
        <v>26</v>
      </c>
      <c r="U27" s="6" t="s">
        <v>27</v>
      </c>
      <c r="V27" s="6" t="s">
        <v>28</v>
      </c>
      <c r="W27" s="6" t="s">
        <v>29</v>
      </c>
      <c r="X27" s="6" t="s">
        <v>30</v>
      </c>
      <c r="Y27" s="6" t="s">
        <v>31</v>
      </c>
      <c r="Z27" s="6" t="s">
        <v>32</v>
      </c>
    </row>
    <row r="28" spans="1:26" s="13" customFormat="1" x14ac:dyDescent="0.3">
      <c r="A28" s="11" t="s">
        <v>42</v>
      </c>
      <c r="B28" s="8">
        <v>1</v>
      </c>
      <c r="C28" s="8">
        <v>1</v>
      </c>
      <c r="D28" s="8">
        <v>1</v>
      </c>
      <c r="E28" s="8">
        <v>0</v>
      </c>
      <c r="F28" s="8">
        <v>0</v>
      </c>
      <c r="G28" s="8">
        <v>1</v>
      </c>
      <c r="H28" s="8">
        <v>1</v>
      </c>
      <c r="I28" s="8">
        <v>0</v>
      </c>
      <c r="J28" s="8">
        <v>1</v>
      </c>
      <c r="K28" s="8">
        <v>1</v>
      </c>
      <c r="L28" s="8">
        <v>1</v>
      </c>
      <c r="M28" s="8">
        <v>1</v>
      </c>
      <c r="N28" s="8">
        <v>1</v>
      </c>
      <c r="O28" s="8">
        <v>1</v>
      </c>
      <c r="P28" s="8">
        <v>0</v>
      </c>
      <c r="Q28" s="8">
        <v>1</v>
      </c>
      <c r="R28" s="8">
        <v>1</v>
      </c>
      <c r="S28" s="8">
        <v>0</v>
      </c>
      <c r="T28" s="8">
        <v>1</v>
      </c>
      <c r="U28" s="8">
        <v>0</v>
      </c>
      <c r="V28" s="8">
        <v>1</v>
      </c>
      <c r="W28" s="8">
        <v>1</v>
      </c>
      <c r="X28" s="8">
        <v>0</v>
      </c>
      <c r="Y28" s="8">
        <v>1</v>
      </c>
      <c r="Z28" s="8">
        <v>0</v>
      </c>
    </row>
    <row r="29" spans="1:26" s="13" customFormat="1" x14ac:dyDescent="0.3">
      <c r="A29" s="11" t="s">
        <v>46</v>
      </c>
      <c r="B29" s="12">
        <f t="shared" ref="B29:Z29" si="1">B28/$B$26</f>
        <v>5.8823529411764705E-2</v>
      </c>
      <c r="C29" s="12">
        <f t="shared" si="1"/>
        <v>5.8823529411764705E-2</v>
      </c>
      <c r="D29" s="12">
        <f t="shared" si="1"/>
        <v>5.8823529411764705E-2</v>
      </c>
      <c r="E29" s="12">
        <f t="shared" si="1"/>
        <v>0</v>
      </c>
      <c r="F29" s="12">
        <f t="shared" si="1"/>
        <v>0</v>
      </c>
      <c r="G29" s="12">
        <f t="shared" si="1"/>
        <v>5.8823529411764705E-2</v>
      </c>
      <c r="H29" s="12">
        <f t="shared" si="1"/>
        <v>5.8823529411764705E-2</v>
      </c>
      <c r="I29" s="12">
        <f t="shared" si="1"/>
        <v>0</v>
      </c>
      <c r="J29" s="12">
        <f t="shared" si="1"/>
        <v>5.8823529411764705E-2</v>
      </c>
      <c r="K29" s="12">
        <f t="shared" si="1"/>
        <v>5.8823529411764705E-2</v>
      </c>
      <c r="L29" s="12">
        <f t="shared" si="1"/>
        <v>5.8823529411764705E-2</v>
      </c>
      <c r="M29" s="12">
        <f t="shared" si="1"/>
        <v>5.8823529411764705E-2</v>
      </c>
      <c r="N29" s="12">
        <f t="shared" si="1"/>
        <v>5.8823529411764705E-2</v>
      </c>
      <c r="O29" s="12">
        <f t="shared" si="1"/>
        <v>5.8823529411764705E-2</v>
      </c>
      <c r="P29" s="12">
        <f t="shared" si="1"/>
        <v>0</v>
      </c>
      <c r="Q29" s="12">
        <f t="shared" si="1"/>
        <v>5.8823529411764705E-2</v>
      </c>
      <c r="R29" s="12">
        <f t="shared" si="1"/>
        <v>5.8823529411764705E-2</v>
      </c>
      <c r="S29" s="12">
        <f t="shared" si="1"/>
        <v>0</v>
      </c>
      <c r="T29" s="12">
        <f t="shared" si="1"/>
        <v>5.8823529411764705E-2</v>
      </c>
      <c r="U29" s="12">
        <f t="shared" si="1"/>
        <v>0</v>
      </c>
      <c r="V29" s="12">
        <f t="shared" si="1"/>
        <v>5.8823529411764705E-2</v>
      </c>
      <c r="W29" s="12">
        <f t="shared" si="1"/>
        <v>5.8823529411764705E-2</v>
      </c>
      <c r="X29" s="12">
        <f t="shared" si="1"/>
        <v>0</v>
      </c>
      <c r="Y29" s="12">
        <f t="shared" si="1"/>
        <v>5.8823529411764705E-2</v>
      </c>
      <c r="Z29" s="12">
        <f t="shared" si="1"/>
        <v>0</v>
      </c>
    </row>
    <row r="31" spans="1:26" x14ac:dyDescent="0.3">
      <c r="A31" s="9" t="s">
        <v>47</v>
      </c>
    </row>
    <row r="32" spans="1:26" x14ac:dyDescent="0.3">
      <c r="A32" s="9" t="s">
        <v>48</v>
      </c>
      <c r="B32">
        <v>2</v>
      </c>
    </row>
    <row r="33" spans="1:26" s="13" customFormat="1" x14ac:dyDescent="0.3">
      <c r="A33" s="6" t="s">
        <v>41</v>
      </c>
      <c r="B33" s="6" t="s">
        <v>8</v>
      </c>
      <c r="C33" s="6" t="s">
        <v>9</v>
      </c>
      <c r="D33" s="6" t="s">
        <v>10</v>
      </c>
      <c r="E33" s="6" t="s">
        <v>11</v>
      </c>
      <c r="F33" s="6" t="s">
        <v>12</v>
      </c>
      <c r="G33" s="6" t="s">
        <v>13</v>
      </c>
      <c r="H33" s="6" t="s">
        <v>14</v>
      </c>
      <c r="I33" s="6" t="s">
        <v>15</v>
      </c>
      <c r="J33" s="6" t="s">
        <v>16</v>
      </c>
      <c r="K33" s="6" t="s">
        <v>17</v>
      </c>
      <c r="L33" s="6" t="s">
        <v>18</v>
      </c>
      <c r="M33" s="6" t="s">
        <v>19</v>
      </c>
      <c r="N33" s="6" t="s">
        <v>20</v>
      </c>
      <c r="O33" s="6" t="s">
        <v>21</v>
      </c>
      <c r="P33" s="6" t="s">
        <v>22</v>
      </c>
      <c r="Q33" s="6" t="s">
        <v>23</v>
      </c>
      <c r="R33" s="6" t="s">
        <v>24</v>
      </c>
      <c r="S33" s="6" t="s">
        <v>25</v>
      </c>
      <c r="T33" s="6" t="s">
        <v>26</v>
      </c>
      <c r="U33" s="6" t="s">
        <v>27</v>
      </c>
      <c r="V33" s="6" t="s">
        <v>28</v>
      </c>
      <c r="W33" s="6" t="s">
        <v>29</v>
      </c>
      <c r="X33" s="6" t="s">
        <v>30</v>
      </c>
      <c r="Y33" s="6" t="s">
        <v>31</v>
      </c>
      <c r="Z33" s="6" t="s">
        <v>32</v>
      </c>
    </row>
    <row r="34" spans="1:26" s="13" customFormat="1" x14ac:dyDescent="0.3">
      <c r="A34" s="11" t="s">
        <v>33</v>
      </c>
      <c r="B34" s="8">
        <f t="shared" ref="B34:Z34" si="2">B22</f>
        <v>1</v>
      </c>
      <c r="C34" s="8">
        <f t="shared" si="2"/>
        <v>1</v>
      </c>
      <c r="D34" s="8">
        <f t="shared" si="2"/>
        <v>1</v>
      </c>
      <c r="E34" s="8">
        <f t="shared" si="2"/>
        <v>1</v>
      </c>
      <c r="F34" s="8">
        <f t="shared" si="2"/>
        <v>1</v>
      </c>
      <c r="G34" s="8">
        <f t="shared" si="2"/>
        <v>0</v>
      </c>
      <c r="H34" s="8">
        <f t="shared" si="2"/>
        <v>0</v>
      </c>
      <c r="I34" s="8">
        <f t="shared" si="2"/>
        <v>1</v>
      </c>
      <c r="J34" s="8">
        <f t="shared" si="2"/>
        <v>0</v>
      </c>
      <c r="K34" s="8">
        <f t="shared" si="2"/>
        <v>1</v>
      </c>
      <c r="L34" s="8">
        <f t="shared" si="2"/>
        <v>0</v>
      </c>
      <c r="M34" s="8">
        <f t="shared" si="2"/>
        <v>1</v>
      </c>
      <c r="N34" s="8">
        <f t="shared" si="2"/>
        <v>0</v>
      </c>
      <c r="O34" s="8">
        <f t="shared" si="2"/>
        <v>0</v>
      </c>
      <c r="P34" s="8">
        <f t="shared" si="2"/>
        <v>1</v>
      </c>
      <c r="Q34" s="8">
        <f t="shared" si="2"/>
        <v>0</v>
      </c>
      <c r="R34" s="8">
        <f t="shared" si="2"/>
        <v>0</v>
      </c>
      <c r="S34" s="8">
        <f t="shared" si="2"/>
        <v>1</v>
      </c>
      <c r="T34" s="8">
        <f t="shared" si="2"/>
        <v>0</v>
      </c>
      <c r="U34" s="8">
        <f t="shared" si="2"/>
        <v>1</v>
      </c>
      <c r="V34" s="8">
        <f t="shared" si="2"/>
        <v>0</v>
      </c>
      <c r="W34" s="8">
        <f t="shared" si="2"/>
        <v>0</v>
      </c>
      <c r="X34" s="8">
        <f t="shared" si="2"/>
        <v>1</v>
      </c>
      <c r="Y34" s="8">
        <f t="shared" si="2"/>
        <v>1</v>
      </c>
      <c r="Z34" s="8">
        <f t="shared" si="2"/>
        <v>1</v>
      </c>
    </row>
    <row r="35" spans="1:26" s="13" customFormat="1" x14ac:dyDescent="0.3">
      <c r="A35" s="11" t="s">
        <v>34</v>
      </c>
      <c r="B35" s="8">
        <f t="shared" ref="B35:Z35" si="3">B28</f>
        <v>1</v>
      </c>
      <c r="C35" s="8">
        <f t="shared" si="3"/>
        <v>1</v>
      </c>
      <c r="D35" s="8">
        <f t="shared" si="3"/>
        <v>1</v>
      </c>
      <c r="E35" s="8">
        <f t="shared" si="3"/>
        <v>0</v>
      </c>
      <c r="F35" s="8">
        <f t="shared" si="3"/>
        <v>0</v>
      </c>
      <c r="G35" s="8">
        <f t="shared" si="3"/>
        <v>1</v>
      </c>
      <c r="H35" s="8">
        <f t="shared" si="3"/>
        <v>1</v>
      </c>
      <c r="I35" s="8">
        <f t="shared" si="3"/>
        <v>0</v>
      </c>
      <c r="J35" s="8">
        <f t="shared" si="3"/>
        <v>1</v>
      </c>
      <c r="K35" s="8">
        <f t="shared" si="3"/>
        <v>1</v>
      </c>
      <c r="L35" s="8">
        <f t="shared" si="3"/>
        <v>1</v>
      </c>
      <c r="M35" s="8">
        <f t="shared" si="3"/>
        <v>1</v>
      </c>
      <c r="N35" s="8">
        <f t="shared" si="3"/>
        <v>1</v>
      </c>
      <c r="O35" s="8">
        <f t="shared" si="3"/>
        <v>1</v>
      </c>
      <c r="P35" s="8">
        <f t="shared" si="3"/>
        <v>0</v>
      </c>
      <c r="Q35" s="8">
        <f t="shared" si="3"/>
        <v>1</v>
      </c>
      <c r="R35" s="8">
        <f t="shared" si="3"/>
        <v>1</v>
      </c>
      <c r="S35" s="8">
        <f t="shared" si="3"/>
        <v>0</v>
      </c>
      <c r="T35" s="8">
        <f t="shared" si="3"/>
        <v>1</v>
      </c>
      <c r="U35" s="8">
        <f t="shared" si="3"/>
        <v>0</v>
      </c>
      <c r="V35" s="8">
        <f t="shared" si="3"/>
        <v>1</v>
      </c>
      <c r="W35" s="8">
        <f t="shared" si="3"/>
        <v>1</v>
      </c>
      <c r="X35" s="8">
        <f t="shared" si="3"/>
        <v>0</v>
      </c>
      <c r="Y35" s="8">
        <f t="shared" si="3"/>
        <v>1</v>
      </c>
      <c r="Z35" s="8">
        <f t="shared" si="3"/>
        <v>0</v>
      </c>
    </row>
    <row r="36" spans="1:26" s="13" customFormat="1" x14ac:dyDescent="0.3">
      <c r="A36" s="11" t="s">
        <v>49</v>
      </c>
      <c r="B36" s="8">
        <f t="shared" ref="B36:Z36" si="4">COUNTIF(B34:B35,"&gt;0")</f>
        <v>2</v>
      </c>
      <c r="C36" s="8">
        <f t="shared" si="4"/>
        <v>2</v>
      </c>
      <c r="D36" s="8">
        <f t="shared" si="4"/>
        <v>2</v>
      </c>
      <c r="E36" s="8">
        <f t="shared" si="4"/>
        <v>1</v>
      </c>
      <c r="F36" s="8">
        <f t="shared" si="4"/>
        <v>1</v>
      </c>
      <c r="G36" s="8">
        <f t="shared" si="4"/>
        <v>1</v>
      </c>
      <c r="H36" s="8">
        <f t="shared" si="4"/>
        <v>1</v>
      </c>
      <c r="I36" s="8">
        <f t="shared" si="4"/>
        <v>1</v>
      </c>
      <c r="J36" s="8">
        <f t="shared" si="4"/>
        <v>1</v>
      </c>
      <c r="K36" s="8">
        <f t="shared" si="4"/>
        <v>2</v>
      </c>
      <c r="L36" s="8">
        <f t="shared" si="4"/>
        <v>1</v>
      </c>
      <c r="M36" s="8">
        <f t="shared" si="4"/>
        <v>2</v>
      </c>
      <c r="N36" s="8">
        <f t="shared" si="4"/>
        <v>1</v>
      </c>
      <c r="O36" s="8">
        <f t="shared" si="4"/>
        <v>1</v>
      </c>
      <c r="P36" s="8">
        <f t="shared" si="4"/>
        <v>1</v>
      </c>
      <c r="Q36" s="8">
        <f t="shared" si="4"/>
        <v>1</v>
      </c>
      <c r="R36" s="8">
        <f t="shared" si="4"/>
        <v>1</v>
      </c>
      <c r="S36" s="8">
        <f t="shared" si="4"/>
        <v>1</v>
      </c>
      <c r="T36" s="8">
        <f t="shared" si="4"/>
        <v>1</v>
      </c>
      <c r="U36" s="8">
        <f t="shared" si="4"/>
        <v>1</v>
      </c>
      <c r="V36" s="8">
        <f t="shared" si="4"/>
        <v>1</v>
      </c>
      <c r="W36" s="8">
        <f t="shared" si="4"/>
        <v>1</v>
      </c>
      <c r="X36" s="8">
        <f t="shared" si="4"/>
        <v>1</v>
      </c>
      <c r="Y36" s="8">
        <f t="shared" si="4"/>
        <v>2</v>
      </c>
      <c r="Z36" s="8">
        <f t="shared" si="4"/>
        <v>1</v>
      </c>
    </row>
    <row r="37" spans="1:26" s="13" customFormat="1" x14ac:dyDescent="0.3">
      <c r="A37" s="11" t="s">
        <v>50</v>
      </c>
      <c r="B37" s="12">
        <f>LOG10($B$32/B36)</f>
        <v>0</v>
      </c>
      <c r="C37" s="12">
        <f t="shared" ref="C37:Z37" si="5">LOG10($B$32/C36)</f>
        <v>0</v>
      </c>
      <c r="D37" s="12">
        <f t="shared" si="5"/>
        <v>0</v>
      </c>
      <c r="E37" s="12">
        <f t="shared" si="5"/>
        <v>0.3010299956639812</v>
      </c>
      <c r="F37" s="12">
        <f t="shared" si="5"/>
        <v>0.3010299956639812</v>
      </c>
      <c r="G37" s="12">
        <f t="shared" si="5"/>
        <v>0.3010299956639812</v>
      </c>
      <c r="H37" s="12">
        <f t="shared" si="5"/>
        <v>0.3010299956639812</v>
      </c>
      <c r="I37" s="12">
        <f t="shared" si="5"/>
        <v>0.3010299956639812</v>
      </c>
      <c r="J37" s="12">
        <f t="shared" si="5"/>
        <v>0.3010299956639812</v>
      </c>
      <c r="K37" s="12">
        <f t="shared" si="5"/>
        <v>0</v>
      </c>
      <c r="L37" s="12">
        <f t="shared" si="5"/>
        <v>0.3010299956639812</v>
      </c>
      <c r="M37" s="12">
        <f t="shared" si="5"/>
        <v>0</v>
      </c>
      <c r="N37" s="12">
        <f t="shared" si="5"/>
        <v>0.3010299956639812</v>
      </c>
      <c r="O37" s="12">
        <f t="shared" si="5"/>
        <v>0.3010299956639812</v>
      </c>
      <c r="P37" s="12">
        <f t="shared" si="5"/>
        <v>0.3010299956639812</v>
      </c>
      <c r="Q37" s="12">
        <f t="shared" si="5"/>
        <v>0.3010299956639812</v>
      </c>
      <c r="R37" s="12">
        <f t="shared" si="5"/>
        <v>0.3010299956639812</v>
      </c>
      <c r="S37" s="12">
        <f t="shared" si="5"/>
        <v>0.3010299956639812</v>
      </c>
      <c r="T37" s="12">
        <f t="shared" si="5"/>
        <v>0.3010299956639812</v>
      </c>
      <c r="U37" s="12">
        <f t="shared" si="5"/>
        <v>0.3010299956639812</v>
      </c>
      <c r="V37" s="12">
        <f t="shared" si="5"/>
        <v>0.3010299956639812</v>
      </c>
      <c r="W37" s="12">
        <f t="shared" si="5"/>
        <v>0.3010299956639812</v>
      </c>
      <c r="X37" s="12">
        <f t="shared" si="5"/>
        <v>0.3010299956639812</v>
      </c>
      <c r="Y37" s="12">
        <f t="shared" si="5"/>
        <v>0</v>
      </c>
      <c r="Z37" s="12">
        <f t="shared" si="5"/>
        <v>0.3010299956639812</v>
      </c>
    </row>
    <row r="39" spans="1:26" x14ac:dyDescent="0.3">
      <c r="A39" s="9" t="s">
        <v>51</v>
      </c>
    </row>
    <row r="40" spans="1:26" x14ac:dyDescent="0.3">
      <c r="A40" s="9" t="s">
        <v>33</v>
      </c>
      <c r="B40" t="s">
        <v>39</v>
      </c>
    </row>
    <row r="41" spans="1:26" s="13" customFormat="1" x14ac:dyDescent="0.3">
      <c r="A41" s="6" t="s">
        <v>41</v>
      </c>
      <c r="B41" s="6" t="s">
        <v>8</v>
      </c>
      <c r="C41" s="6" t="s">
        <v>9</v>
      </c>
      <c r="D41" s="6" t="s">
        <v>10</v>
      </c>
      <c r="E41" s="6" t="s">
        <v>11</v>
      </c>
      <c r="F41" s="6" t="s">
        <v>12</v>
      </c>
      <c r="G41" s="6" t="s">
        <v>13</v>
      </c>
      <c r="H41" s="6" t="s">
        <v>14</v>
      </c>
      <c r="I41" s="6" t="s">
        <v>15</v>
      </c>
      <c r="J41" s="6" t="s">
        <v>16</v>
      </c>
      <c r="K41" s="6" t="s">
        <v>17</v>
      </c>
      <c r="L41" s="6" t="s">
        <v>18</v>
      </c>
      <c r="M41" s="6" t="s">
        <v>19</v>
      </c>
      <c r="N41" s="6" t="s">
        <v>20</v>
      </c>
      <c r="O41" s="6" t="s">
        <v>21</v>
      </c>
      <c r="P41" s="6" t="s">
        <v>22</v>
      </c>
      <c r="Q41" s="6" t="s">
        <v>23</v>
      </c>
      <c r="R41" s="6" t="s">
        <v>24</v>
      </c>
      <c r="S41" s="6" t="s">
        <v>25</v>
      </c>
      <c r="T41" s="6" t="s">
        <v>26</v>
      </c>
      <c r="U41" s="6" t="s">
        <v>27</v>
      </c>
      <c r="V41" s="6" t="s">
        <v>28</v>
      </c>
      <c r="W41" s="6" t="s">
        <v>29</v>
      </c>
      <c r="X41" s="6" t="s">
        <v>30</v>
      </c>
      <c r="Y41" s="6" t="s">
        <v>31</v>
      </c>
      <c r="Z41" s="6" t="s">
        <v>32</v>
      </c>
    </row>
    <row r="42" spans="1:26" s="13" customFormat="1" x14ac:dyDescent="0.3">
      <c r="A42" s="11" t="s">
        <v>43</v>
      </c>
      <c r="B42" s="12">
        <f t="shared" ref="B42:Z42" si="6">B23</f>
        <v>7.1428571428571425E-2</v>
      </c>
      <c r="C42" s="12">
        <f t="shared" si="6"/>
        <v>7.1428571428571425E-2</v>
      </c>
      <c r="D42" s="12">
        <f t="shared" si="6"/>
        <v>7.1428571428571425E-2</v>
      </c>
      <c r="E42" s="12">
        <f t="shared" si="6"/>
        <v>7.1428571428571425E-2</v>
      </c>
      <c r="F42" s="12">
        <f t="shared" si="6"/>
        <v>7.1428571428571425E-2</v>
      </c>
      <c r="G42" s="12">
        <f t="shared" si="6"/>
        <v>0</v>
      </c>
      <c r="H42" s="12">
        <f t="shared" si="6"/>
        <v>0</v>
      </c>
      <c r="I42" s="12">
        <f t="shared" si="6"/>
        <v>7.1428571428571425E-2</v>
      </c>
      <c r="J42" s="12">
        <f t="shared" si="6"/>
        <v>0</v>
      </c>
      <c r="K42" s="12">
        <f t="shared" si="6"/>
        <v>7.1428571428571425E-2</v>
      </c>
      <c r="L42" s="12">
        <f t="shared" si="6"/>
        <v>0</v>
      </c>
      <c r="M42" s="12">
        <f t="shared" si="6"/>
        <v>7.1428571428571425E-2</v>
      </c>
      <c r="N42" s="12">
        <f t="shared" si="6"/>
        <v>0</v>
      </c>
      <c r="O42" s="12">
        <f t="shared" si="6"/>
        <v>0</v>
      </c>
      <c r="P42" s="12">
        <f t="shared" si="6"/>
        <v>7.1428571428571425E-2</v>
      </c>
      <c r="Q42" s="12">
        <f t="shared" si="6"/>
        <v>0</v>
      </c>
      <c r="R42" s="12">
        <f t="shared" si="6"/>
        <v>0</v>
      </c>
      <c r="S42" s="12">
        <f t="shared" si="6"/>
        <v>7.1428571428571425E-2</v>
      </c>
      <c r="T42" s="12">
        <f t="shared" si="6"/>
        <v>0</v>
      </c>
      <c r="U42" s="12">
        <f t="shared" si="6"/>
        <v>7.1428571428571425E-2</v>
      </c>
      <c r="V42" s="12">
        <f t="shared" si="6"/>
        <v>0</v>
      </c>
      <c r="W42" s="12">
        <f t="shared" si="6"/>
        <v>0</v>
      </c>
      <c r="X42" s="12">
        <f t="shared" si="6"/>
        <v>7.1428571428571425E-2</v>
      </c>
      <c r="Y42" s="12">
        <f t="shared" si="6"/>
        <v>7.1428571428571425E-2</v>
      </c>
      <c r="Z42" s="12">
        <f t="shared" si="6"/>
        <v>7.1428571428571425E-2</v>
      </c>
    </row>
    <row r="43" spans="1:26" s="13" customFormat="1" x14ac:dyDescent="0.3">
      <c r="A43" s="11" t="s">
        <v>50</v>
      </c>
      <c r="B43" s="12">
        <f t="shared" ref="B43:Z43" si="7">B37</f>
        <v>0</v>
      </c>
      <c r="C43" s="12">
        <f t="shared" si="7"/>
        <v>0</v>
      </c>
      <c r="D43" s="12">
        <f t="shared" si="7"/>
        <v>0</v>
      </c>
      <c r="E43" s="12">
        <f t="shared" si="7"/>
        <v>0.3010299956639812</v>
      </c>
      <c r="F43" s="12">
        <f t="shared" si="7"/>
        <v>0.3010299956639812</v>
      </c>
      <c r="G43" s="12">
        <f t="shared" si="7"/>
        <v>0.3010299956639812</v>
      </c>
      <c r="H43" s="12">
        <f t="shared" si="7"/>
        <v>0.3010299956639812</v>
      </c>
      <c r="I43" s="12">
        <f t="shared" si="7"/>
        <v>0.3010299956639812</v>
      </c>
      <c r="J43" s="12">
        <f t="shared" si="7"/>
        <v>0.3010299956639812</v>
      </c>
      <c r="K43" s="12">
        <f t="shared" si="7"/>
        <v>0</v>
      </c>
      <c r="L43" s="12">
        <f t="shared" si="7"/>
        <v>0.3010299956639812</v>
      </c>
      <c r="M43" s="12">
        <f t="shared" si="7"/>
        <v>0</v>
      </c>
      <c r="N43" s="12">
        <f t="shared" si="7"/>
        <v>0.3010299956639812</v>
      </c>
      <c r="O43" s="12">
        <f t="shared" si="7"/>
        <v>0.3010299956639812</v>
      </c>
      <c r="P43" s="12">
        <f t="shared" si="7"/>
        <v>0.3010299956639812</v>
      </c>
      <c r="Q43" s="12">
        <f t="shared" si="7"/>
        <v>0.3010299956639812</v>
      </c>
      <c r="R43" s="12">
        <f t="shared" si="7"/>
        <v>0.3010299956639812</v>
      </c>
      <c r="S43" s="12">
        <f t="shared" si="7"/>
        <v>0.3010299956639812</v>
      </c>
      <c r="T43" s="12">
        <f t="shared" si="7"/>
        <v>0.3010299956639812</v>
      </c>
      <c r="U43" s="12">
        <f t="shared" si="7"/>
        <v>0.3010299956639812</v>
      </c>
      <c r="V43" s="12">
        <f t="shared" si="7"/>
        <v>0.3010299956639812</v>
      </c>
      <c r="W43" s="12">
        <f t="shared" si="7"/>
        <v>0.3010299956639812</v>
      </c>
      <c r="X43" s="12">
        <f t="shared" si="7"/>
        <v>0.3010299956639812</v>
      </c>
      <c r="Y43" s="12">
        <f t="shared" si="7"/>
        <v>0</v>
      </c>
      <c r="Z43" s="12">
        <f t="shared" si="7"/>
        <v>0.3010299956639812</v>
      </c>
    </row>
    <row r="44" spans="1:26" s="13" customFormat="1" x14ac:dyDescent="0.3">
      <c r="A44" s="11" t="s">
        <v>52</v>
      </c>
      <c r="B44" s="12">
        <f t="shared" ref="B44:Z44" si="8">B42*B43</f>
        <v>0</v>
      </c>
      <c r="C44" s="12">
        <f t="shared" si="8"/>
        <v>0</v>
      </c>
      <c r="D44" s="12">
        <f t="shared" si="8"/>
        <v>0</v>
      </c>
      <c r="E44" s="12">
        <f>E42*E43</f>
        <v>2.1502142547427227E-2</v>
      </c>
      <c r="F44" s="12">
        <f t="shared" si="8"/>
        <v>2.1502142547427227E-2</v>
      </c>
      <c r="G44" s="12">
        <f t="shared" si="8"/>
        <v>0</v>
      </c>
      <c r="H44" s="12">
        <f t="shared" si="8"/>
        <v>0</v>
      </c>
      <c r="I44" s="12">
        <f t="shared" si="8"/>
        <v>2.1502142547427227E-2</v>
      </c>
      <c r="J44" s="12">
        <f t="shared" si="8"/>
        <v>0</v>
      </c>
      <c r="K44" s="12">
        <f t="shared" si="8"/>
        <v>0</v>
      </c>
      <c r="L44" s="12">
        <f t="shared" si="8"/>
        <v>0</v>
      </c>
      <c r="M44" s="12">
        <f t="shared" si="8"/>
        <v>0</v>
      </c>
      <c r="N44" s="12">
        <f t="shared" si="8"/>
        <v>0</v>
      </c>
      <c r="O44" s="12">
        <f t="shared" si="8"/>
        <v>0</v>
      </c>
      <c r="P44" s="12">
        <f t="shared" si="8"/>
        <v>2.1502142547427227E-2</v>
      </c>
      <c r="Q44" s="12">
        <f t="shared" si="8"/>
        <v>0</v>
      </c>
      <c r="R44" s="12">
        <f t="shared" si="8"/>
        <v>0</v>
      </c>
      <c r="S44" s="12">
        <f t="shared" si="8"/>
        <v>2.1502142547427227E-2</v>
      </c>
      <c r="T44" s="12">
        <f t="shared" si="8"/>
        <v>0</v>
      </c>
      <c r="U44" s="12">
        <f t="shared" si="8"/>
        <v>2.1502142547427227E-2</v>
      </c>
      <c r="V44" s="12">
        <f t="shared" si="8"/>
        <v>0</v>
      </c>
      <c r="W44" s="12">
        <f t="shared" si="8"/>
        <v>0</v>
      </c>
      <c r="X44" s="12">
        <f t="shared" si="8"/>
        <v>2.1502142547427227E-2</v>
      </c>
      <c r="Y44" s="12">
        <f t="shared" si="8"/>
        <v>0</v>
      </c>
      <c r="Z44" s="12">
        <f t="shared" si="8"/>
        <v>2.1502142547427227E-2</v>
      </c>
    </row>
    <row r="46" spans="1:26" x14ac:dyDescent="0.3">
      <c r="A46" s="9" t="s">
        <v>34</v>
      </c>
      <c r="B46" t="s">
        <v>44</v>
      </c>
    </row>
    <row r="47" spans="1:26" s="13" customFormat="1" x14ac:dyDescent="0.3">
      <c r="A47" s="6" t="s">
        <v>41</v>
      </c>
      <c r="B47" s="6" t="s">
        <v>8</v>
      </c>
      <c r="C47" s="6" t="s">
        <v>9</v>
      </c>
      <c r="D47" s="6" t="s">
        <v>10</v>
      </c>
      <c r="E47" s="6" t="s">
        <v>11</v>
      </c>
      <c r="F47" s="6" t="s">
        <v>12</v>
      </c>
      <c r="G47" s="6" t="s">
        <v>13</v>
      </c>
      <c r="H47" s="6" t="s">
        <v>14</v>
      </c>
      <c r="I47" s="6" t="s">
        <v>15</v>
      </c>
      <c r="J47" s="6" t="s">
        <v>16</v>
      </c>
      <c r="K47" s="6" t="s">
        <v>17</v>
      </c>
      <c r="L47" s="6" t="s">
        <v>18</v>
      </c>
      <c r="M47" s="6" t="s">
        <v>19</v>
      </c>
      <c r="N47" s="6" t="s">
        <v>20</v>
      </c>
      <c r="O47" s="6" t="s">
        <v>21</v>
      </c>
      <c r="P47" s="6" t="s">
        <v>22</v>
      </c>
      <c r="Q47" s="6" t="s">
        <v>23</v>
      </c>
      <c r="R47" s="6" t="s">
        <v>24</v>
      </c>
      <c r="S47" s="6" t="s">
        <v>25</v>
      </c>
      <c r="T47" s="6" t="s">
        <v>26</v>
      </c>
      <c r="U47" s="6" t="s">
        <v>27</v>
      </c>
      <c r="V47" s="6" t="s">
        <v>28</v>
      </c>
      <c r="W47" s="6" t="s">
        <v>29</v>
      </c>
      <c r="X47" s="6" t="s">
        <v>30</v>
      </c>
      <c r="Y47" s="6" t="s">
        <v>31</v>
      </c>
      <c r="Z47" s="6" t="s">
        <v>32</v>
      </c>
    </row>
    <row r="48" spans="1:26" s="13" customFormat="1" x14ac:dyDescent="0.3">
      <c r="A48" s="11" t="s">
        <v>46</v>
      </c>
      <c r="B48" s="12">
        <f t="shared" ref="B48:Z48" si="9">B29</f>
        <v>5.8823529411764705E-2</v>
      </c>
      <c r="C48" s="12">
        <f t="shared" si="9"/>
        <v>5.8823529411764705E-2</v>
      </c>
      <c r="D48" s="12">
        <f t="shared" si="9"/>
        <v>5.8823529411764705E-2</v>
      </c>
      <c r="E48" s="12">
        <f t="shared" si="9"/>
        <v>0</v>
      </c>
      <c r="F48" s="12">
        <f t="shared" si="9"/>
        <v>0</v>
      </c>
      <c r="G48" s="12">
        <f t="shared" si="9"/>
        <v>5.8823529411764705E-2</v>
      </c>
      <c r="H48" s="12">
        <f t="shared" si="9"/>
        <v>5.8823529411764705E-2</v>
      </c>
      <c r="I48" s="12">
        <f t="shared" si="9"/>
        <v>0</v>
      </c>
      <c r="J48" s="12">
        <f t="shared" si="9"/>
        <v>5.8823529411764705E-2</v>
      </c>
      <c r="K48" s="12">
        <f t="shared" si="9"/>
        <v>5.8823529411764705E-2</v>
      </c>
      <c r="L48" s="12">
        <f t="shared" si="9"/>
        <v>5.8823529411764705E-2</v>
      </c>
      <c r="M48" s="12">
        <f t="shared" si="9"/>
        <v>5.8823529411764705E-2</v>
      </c>
      <c r="N48" s="12">
        <f t="shared" si="9"/>
        <v>5.8823529411764705E-2</v>
      </c>
      <c r="O48" s="12">
        <f t="shared" si="9"/>
        <v>5.8823529411764705E-2</v>
      </c>
      <c r="P48" s="12">
        <f t="shared" si="9"/>
        <v>0</v>
      </c>
      <c r="Q48" s="12">
        <f t="shared" si="9"/>
        <v>5.8823529411764705E-2</v>
      </c>
      <c r="R48" s="12">
        <f t="shared" si="9"/>
        <v>5.8823529411764705E-2</v>
      </c>
      <c r="S48" s="12">
        <f t="shared" si="9"/>
        <v>0</v>
      </c>
      <c r="T48" s="12">
        <f t="shared" si="9"/>
        <v>5.8823529411764705E-2</v>
      </c>
      <c r="U48" s="12">
        <f t="shared" si="9"/>
        <v>0</v>
      </c>
      <c r="V48" s="12">
        <f t="shared" si="9"/>
        <v>5.8823529411764705E-2</v>
      </c>
      <c r="W48" s="12">
        <f t="shared" si="9"/>
        <v>5.8823529411764705E-2</v>
      </c>
      <c r="X48" s="12">
        <f t="shared" si="9"/>
        <v>0</v>
      </c>
      <c r="Y48" s="12">
        <f t="shared" si="9"/>
        <v>5.8823529411764705E-2</v>
      </c>
      <c r="Z48" s="12">
        <f t="shared" si="9"/>
        <v>0</v>
      </c>
    </row>
    <row r="49" spans="1:26" s="13" customFormat="1" x14ac:dyDescent="0.3">
      <c r="A49" s="11" t="s">
        <v>50</v>
      </c>
      <c r="B49" s="12">
        <f t="shared" ref="B49:Z49" si="10">B37</f>
        <v>0</v>
      </c>
      <c r="C49" s="12">
        <f t="shared" si="10"/>
        <v>0</v>
      </c>
      <c r="D49" s="12">
        <f t="shared" si="10"/>
        <v>0</v>
      </c>
      <c r="E49" s="12">
        <f t="shared" si="10"/>
        <v>0.3010299956639812</v>
      </c>
      <c r="F49" s="12">
        <f t="shared" si="10"/>
        <v>0.3010299956639812</v>
      </c>
      <c r="G49" s="12">
        <f t="shared" si="10"/>
        <v>0.3010299956639812</v>
      </c>
      <c r="H49" s="12">
        <f t="shared" si="10"/>
        <v>0.3010299956639812</v>
      </c>
      <c r="I49" s="12">
        <f t="shared" si="10"/>
        <v>0.3010299956639812</v>
      </c>
      <c r="J49" s="12">
        <f t="shared" si="10"/>
        <v>0.3010299956639812</v>
      </c>
      <c r="K49" s="12">
        <f t="shared" si="10"/>
        <v>0</v>
      </c>
      <c r="L49" s="12">
        <f t="shared" si="10"/>
        <v>0.3010299956639812</v>
      </c>
      <c r="M49" s="12">
        <f t="shared" si="10"/>
        <v>0</v>
      </c>
      <c r="N49" s="12">
        <f t="shared" si="10"/>
        <v>0.3010299956639812</v>
      </c>
      <c r="O49" s="12">
        <f t="shared" si="10"/>
        <v>0.3010299956639812</v>
      </c>
      <c r="P49" s="12">
        <f t="shared" si="10"/>
        <v>0.3010299956639812</v>
      </c>
      <c r="Q49" s="12">
        <f t="shared" si="10"/>
        <v>0.3010299956639812</v>
      </c>
      <c r="R49" s="12">
        <f t="shared" si="10"/>
        <v>0.3010299956639812</v>
      </c>
      <c r="S49" s="12">
        <f t="shared" si="10"/>
        <v>0.3010299956639812</v>
      </c>
      <c r="T49" s="12">
        <f t="shared" si="10"/>
        <v>0.3010299956639812</v>
      </c>
      <c r="U49" s="12">
        <f t="shared" si="10"/>
        <v>0.3010299956639812</v>
      </c>
      <c r="V49" s="12">
        <f t="shared" si="10"/>
        <v>0.3010299956639812</v>
      </c>
      <c r="W49" s="12">
        <f t="shared" si="10"/>
        <v>0.3010299956639812</v>
      </c>
      <c r="X49" s="12">
        <f t="shared" si="10"/>
        <v>0.3010299956639812</v>
      </c>
      <c r="Y49" s="12">
        <f t="shared" si="10"/>
        <v>0</v>
      </c>
      <c r="Z49" s="12">
        <f t="shared" si="10"/>
        <v>0.3010299956639812</v>
      </c>
    </row>
    <row r="50" spans="1:26" s="13" customFormat="1" x14ac:dyDescent="0.3">
      <c r="A50" s="11" t="s">
        <v>53</v>
      </c>
      <c r="B50" s="12">
        <f t="shared" ref="B50:Z50" si="11">B48*B49</f>
        <v>0</v>
      </c>
      <c r="C50" s="12">
        <f t="shared" si="11"/>
        <v>0</v>
      </c>
      <c r="D50" s="12">
        <f t="shared" si="11"/>
        <v>0</v>
      </c>
      <c r="E50" s="12">
        <f t="shared" si="11"/>
        <v>0</v>
      </c>
      <c r="F50" s="12">
        <f t="shared" si="11"/>
        <v>0</v>
      </c>
      <c r="G50" s="12">
        <f t="shared" si="11"/>
        <v>1.7707646803763601E-2</v>
      </c>
      <c r="H50" s="12">
        <f t="shared" si="11"/>
        <v>1.7707646803763601E-2</v>
      </c>
      <c r="I50" s="12">
        <f t="shared" si="11"/>
        <v>0</v>
      </c>
      <c r="J50" s="12">
        <f t="shared" si="11"/>
        <v>1.7707646803763601E-2</v>
      </c>
      <c r="K50" s="12">
        <f t="shared" si="11"/>
        <v>0</v>
      </c>
      <c r="L50" s="12">
        <f t="shared" si="11"/>
        <v>1.7707646803763601E-2</v>
      </c>
      <c r="M50" s="12">
        <f t="shared" si="11"/>
        <v>0</v>
      </c>
      <c r="N50" s="12">
        <f t="shared" si="11"/>
        <v>1.7707646803763601E-2</v>
      </c>
      <c r="O50" s="12">
        <f t="shared" si="11"/>
        <v>1.7707646803763601E-2</v>
      </c>
      <c r="P50" s="12">
        <f>P48*P49</f>
        <v>0</v>
      </c>
      <c r="Q50" s="12">
        <f t="shared" si="11"/>
        <v>1.7707646803763601E-2</v>
      </c>
      <c r="R50" s="12">
        <f t="shared" si="11"/>
        <v>1.7707646803763601E-2</v>
      </c>
      <c r="S50" s="12">
        <f t="shared" si="11"/>
        <v>0</v>
      </c>
      <c r="T50" s="12">
        <f t="shared" si="11"/>
        <v>1.7707646803763601E-2</v>
      </c>
      <c r="U50" s="12">
        <f t="shared" si="11"/>
        <v>0</v>
      </c>
      <c r="V50" s="12">
        <f t="shared" si="11"/>
        <v>1.7707646803763601E-2</v>
      </c>
      <c r="W50" s="12">
        <f t="shared" si="11"/>
        <v>1.7707646803763601E-2</v>
      </c>
      <c r="X50" s="12">
        <f t="shared" si="11"/>
        <v>0</v>
      </c>
      <c r="Y50" s="12">
        <f t="shared" si="11"/>
        <v>0</v>
      </c>
      <c r="Z50" s="12">
        <f t="shared" si="11"/>
        <v>0</v>
      </c>
    </row>
    <row r="52" spans="1:26" x14ac:dyDescent="0.3">
      <c r="A52" s="9" t="s">
        <v>54</v>
      </c>
    </row>
    <row r="53" spans="1:26" s="13" customFormat="1" x14ac:dyDescent="0.3">
      <c r="A53" s="6" t="s">
        <v>41</v>
      </c>
      <c r="B53" s="6" t="s">
        <v>8</v>
      </c>
      <c r="C53" s="6" t="s">
        <v>9</v>
      </c>
      <c r="D53" s="6" t="s">
        <v>10</v>
      </c>
      <c r="E53" s="6" t="s">
        <v>11</v>
      </c>
      <c r="F53" s="6" t="s">
        <v>12</v>
      </c>
      <c r="G53" s="6" t="s">
        <v>13</v>
      </c>
      <c r="H53" s="6" t="s">
        <v>14</v>
      </c>
      <c r="I53" s="6" t="s">
        <v>15</v>
      </c>
      <c r="J53" s="6" t="s">
        <v>16</v>
      </c>
      <c r="K53" s="6" t="s">
        <v>17</v>
      </c>
      <c r="L53" s="6" t="s">
        <v>18</v>
      </c>
      <c r="M53" s="6" t="s">
        <v>19</v>
      </c>
      <c r="N53" s="6" t="s">
        <v>20</v>
      </c>
      <c r="O53" s="6" t="s">
        <v>21</v>
      </c>
      <c r="P53" s="6" t="s">
        <v>22</v>
      </c>
      <c r="Q53" s="6" t="s">
        <v>23</v>
      </c>
      <c r="R53" s="6" t="s">
        <v>24</v>
      </c>
      <c r="S53" s="6" t="s">
        <v>25</v>
      </c>
      <c r="T53" s="6" t="s">
        <v>26</v>
      </c>
      <c r="U53" s="6" t="s">
        <v>27</v>
      </c>
      <c r="V53" s="6" t="s">
        <v>28</v>
      </c>
      <c r="W53" s="6" t="s">
        <v>29</v>
      </c>
      <c r="X53" s="6" t="s">
        <v>30</v>
      </c>
      <c r="Y53" s="6" t="s">
        <v>31</v>
      </c>
      <c r="Z53" s="6" t="s">
        <v>32</v>
      </c>
    </row>
    <row r="54" spans="1:26" s="13" customFormat="1" x14ac:dyDescent="0.3">
      <c r="A54" s="11" t="s">
        <v>33</v>
      </c>
      <c r="B54" s="12">
        <f t="shared" ref="B54:Z54" si="12">B44</f>
        <v>0</v>
      </c>
      <c r="C54" s="12">
        <f t="shared" si="12"/>
        <v>0</v>
      </c>
      <c r="D54" s="12">
        <f t="shared" si="12"/>
        <v>0</v>
      </c>
      <c r="E54" s="12">
        <f t="shared" si="12"/>
        <v>2.1502142547427227E-2</v>
      </c>
      <c r="F54" s="12">
        <f t="shared" si="12"/>
        <v>2.1502142547427227E-2</v>
      </c>
      <c r="G54" s="12">
        <f t="shared" si="12"/>
        <v>0</v>
      </c>
      <c r="H54" s="12">
        <f t="shared" si="12"/>
        <v>0</v>
      </c>
      <c r="I54" s="12">
        <f t="shared" si="12"/>
        <v>2.1502142547427227E-2</v>
      </c>
      <c r="J54" s="12">
        <f t="shared" si="12"/>
        <v>0</v>
      </c>
      <c r="K54" s="12">
        <f t="shared" si="12"/>
        <v>0</v>
      </c>
      <c r="L54" s="12">
        <f t="shared" si="12"/>
        <v>0</v>
      </c>
      <c r="M54" s="12">
        <f t="shared" si="12"/>
        <v>0</v>
      </c>
      <c r="N54" s="12">
        <f t="shared" si="12"/>
        <v>0</v>
      </c>
      <c r="O54" s="12">
        <f t="shared" si="12"/>
        <v>0</v>
      </c>
      <c r="P54" s="12">
        <f t="shared" si="12"/>
        <v>2.1502142547427227E-2</v>
      </c>
      <c r="Q54" s="12">
        <f t="shared" si="12"/>
        <v>0</v>
      </c>
      <c r="R54" s="12">
        <f t="shared" si="12"/>
        <v>0</v>
      </c>
      <c r="S54" s="12">
        <f t="shared" si="12"/>
        <v>2.1502142547427227E-2</v>
      </c>
      <c r="T54" s="12">
        <f t="shared" si="12"/>
        <v>0</v>
      </c>
      <c r="U54" s="12">
        <f t="shared" si="12"/>
        <v>2.1502142547427227E-2</v>
      </c>
      <c r="V54" s="12">
        <f t="shared" si="12"/>
        <v>0</v>
      </c>
      <c r="W54" s="12">
        <f t="shared" si="12"/>
        <v>0</v>
      </c>
      <c r="X54" s="12">
        <f t="shared" si="12"/>
        <v>2.1502142547427227E-2</v>
      </c>
      <c r="Y54" s="12">
        <f t="shared" si="12"/>
        <v>0</v>
      </c>
      <c r="Z54" s="12">
        <f t="shared" si="12"/>
        <v>2.1502142547427227E-2</v>
      </c>
    </row>
    <row r="55" spans="1:26" s="13" customFormat="1" x14ac:dyDescent="0.3">
      <c r="A55" s="11" t="s">
        <v>34</v>
      </c>
      <c r="B55" s="12">
        <f t="shared" ref="B55:Z55" si="13">B50</f>
        <v>0</v>
      </c>
      <c r="C55" s="12">
        <f t="shared" si="13"/>
        <v>0</v>
      </c>
      <c r="D55" s="12">
        <f t="shared" si="13"/>
        <v>0</v>
      </c>
      <c r="E55" s="12">
        <f t="shared" si="13"/>
        <v>0</v>
      </c>
      <c r="F55" s="12">
        <f t="shared" si="13"/>
        <v>0</v>
      </c>
      <c r="G55" s="12">
        <f t="shared" si="13"/>
        <v>1.7707646803763601E-2</v>
      </c>
      <c r="H55" s="12">
        <f t="shared" si="13"/>
        <v>1.7707646803763601E-2</v>
      </c>
      <c r="I55" s="12">
        <f t="shared" si="13"/>
        <v>0</v>
      </c>
      <c r="J55" s="12">
        <f t="shared" si="13"/>
        <v>1.7707646803763601E-2</v>
      </c>
      <c r="K55" s="12">
        <f t="shared" si="13"/>
        <v>0</v>
      </c>
      <c r="L55" s="12">
        <f t="shared" si="13"/>
        <v>1.7707646803763601E-2</v>
      </c>
      <c r="M55" s="12">
        <f t="shared" si="13"/>
        <v>0</v>
      </c>
      <c r="N55" s="12">
        <f t="shared" si="13"/>
        <v>1.7707646803763601E-2</v>
      </c>
      <c r="O55" s="12">
        <f t="shared" si="13"/>
        <v>1.7707646803763601E-2</v>
      </c>
      <c r="P55" s="12">
        <f t="shared" si="13"/>
        <v>0</v>
      </c>
      <c r="Q55" s="12">
        <f t="shared" si="13"/>
        <v>1.7707646803763601E-2</v>
      </c>
      <c r="R55" s="12">
        <f t="shared" si="13"/>
        <v>1.7707646803763601E-2</v>
      </c>
      <c r="S55" s="12">
        <f t="shared" si="13"/>
        <v>0</v>
      </c>
      <c r="T55" s="12">
        <f t="shared" si="13"/>
        <v>1.7707646803763601E-2</v>
      </c>
      <c r="U55" s="12">
        <f t="shared" si="13"/>
        <v>0</v>
      </c>
      <c r="V55" s="12">
        <f t="shared" si="13"/>
        <v>1.7707646803763601E-2</v>
      </c>
      <c r="W55" s="12">
        <f t="shared" si="13"/>
        <v>1.7707646803763601E-2</v>
      </c>
      <c r="X55" s="12">
        <f t="shared" si="13"/>
        <v>0</v>
      </c>
      <c r="Y55" s="12">
        <f t="shared" si="13"/>
        <v>0</v>
      </c>
      <c r="Z55" s="12">
        <f t="shared" si="1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Nguyễn Văn</dc:creator>
  <cp:lastModifiedBy>An Nguyễn Văn</cp:lastModifiedBy>
  <dcterms:created xsi:type="dcterms:W3CDTF">2026-10-14T20:35:42Z</dcterms:created>
  <dcterms:modified xsi:type="dcterms:W3CDTF">2026-10-14T20:37:26Z</dcterms:modified>
</cp:coreProperties>
</file>