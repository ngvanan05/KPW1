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54B273E-394D-4D3F-B3A0-159ECCF751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32" i="1" l="1"/>
  <c r="T33" i="1" s="1"/>
  <c r="H32" i="1"/>
  <c r="H33" i="1" s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Z30" i="1"/>
  <c r="Y30" i="1"/>
  <c r="Y32" i="1" s="1"/>
  <c r="Y33" i="1" s="1"/>
  <c r="X30" i="1"/>
  <c r="X32" i="1" s="1"/>
  <c r="X33" i="1" s="1"/>
  <c r="W30" i="1"/>
  <c r="V30" i="1"/>
  <c r="U30" i="1"/>
  <c r="T30" i="1"/>
  <c r="S30" i="1"/>
  <c r="S32" i="1" s="1"/>
  <c r="S33" i="1" s="1"/>
  <c r="R30" i="1"/>
  <c r="R32" i="1" s="1"/>
  <c r="R33" i="1" s="1"/>
  <c r="Q30" i="1"/>
  <c r="Q32" i="1" s="1"/>
  <c r="Q33" i="1" s="1"/>
  <c r="Q45" i="1" s="1"/>
  <c r="P30" i="1"/>
  <c r="O30" i="1"/>
  <c r="O32" i="1" s="1"/>
  <c r="O33" i="1" s="1"/>
  <c r="N30" i="1"/>
  <c r="M30" i="1"/>
  <c r="M32" i="1" s="1"/>
  <c r="M33" i="1" s="1"/>
  <c r="L30" i="1"/>
  <c r="L32" i="1" s="1"/>
  <c r="L33" i="1" s="1"/>
  <c r="K30" i="1"/>
  <c r="J30" i="1"/>
  <c r="I30" i="1"/>
  <c r="H30" i="1"/>
  <c r="G30" i="1"/>
  <c r="G32" i="1" s="1"/>
  <c r="G33" i="1" s="1"/>
  <c r="F30" i="1"/>
  <c r="F32" i="1" s="1"/>
  <c r="F33" i="1" s="1"/>
  <c r="E30" i="1"/>
  <c r="E32" i="1" s="1"/>
  <c r="E33" i="1" s="1"/>
  <c r="E45" i="1" s="1"/>
  <c r="D30" i="1"/>
  <c r="C30" i="1"/>
  <c r="C32" i="1" s="1"/>
  <c r="C33" i="1" s="1"/>
  <c r="B30" i="1"/>
  <c r="B22" i="1"/>
  <c r="Y25" i="1" s="1"/>
  <c r="Y44" i="1" s="1"/>
  <c r="B16" i="1"/>
  <c r="N19" i="1" s="1"/>
  <c r="N38" i="1" s="1"/>
  <c r="B32" i="1" l="1"/>
  <c r="B33" i="1" s="1"/>
  <c r="N32" i="1"/>
  <c r="N33" i="1" s="1"/>
  <c r="N39" i="1" s="1"/>
  <c r="N40" i="1" s="1"/>
  <c r="N50" i="1" s="1"/>
  <c r="Z32" i="1"/>
  <c r="Z33" i="1" s="1"/>
  <c r="Z39" i="1" s="1"/>
  <c r="B19" i="1"/>
  <c r="B38" i="1" s="1"/>
  <c r="B40" i="1" s="1"/>
  <c r="B50" i="1" s="1"/>
  <c r="C19" i="1"/>
  <c r="B39" i="1"/>
  <c r="W25" i="1"/>
  <c r="W44" i="1" s="1"/>
  <c r="X25" i="1"/>
  <c r="X44" i="1" s="1"/>
  <c r="J32" i="1"/>
  <c r="J33" i="1" s="1"/>
  <c r="J45" i="1" s="1"/>
  <c r="V32" i="1"/>
  <c r="V33" i="1" s="1"/>
  <c r="D32" i="1"/>
  <c r="D33" i="1" s="1"/>
  <c r="D45" i="1" s="1"/>
  <c r="P32" i="1"/>
  <c r="P33" i="1" s="1"/>
  <c r="P45" i="1" s="1"/>
  <c r="M19" i="1"/>
  <c r="M38" i="1" s="1"/>
  <c r="Y19" i="1"/>
  <c r="Y38" i="1" s="1"/>
  <c r="Z19" i="1"/>
  <c r="Z38" i="1" s="1"/>
  <c r="Z40" i="1" s="1"/>
  <c r="Z50" i="1" s="1"/>
  <c r="K25" i="1"/>
  <c r="K44" i="1" s="1"/>
  <c r="I32" i="1"/>
  <c r="I33" i="1" s="1"/>
  <c r="I39" i="1" s="1"/>
  <c r="U32" i="1"/>
  <c r="U33" i="1" s="1"/>
  <c r="U45" i="1" s="1"/>
  <c r="L25" i="1"/>
  <c r="L44" i="1" s="1"/>
  <c r="K32" i="1"/>
  <c r="K33" i="1" s="1"/>
  <c r="K39" i="1" s="1"/>
  <c r="W32" i="1"/>
  <c r="W33" i="1" s="1"/>
  <c r="W39" i="1" s="1"/>
  <c r="G39" i="1"/>
  <c r="G45" i="1"/>
  <c r="S39" i="1"/>
  <c r="S45" i="1"/>
  <c r="T39" i="1"/>
  <c r="T45" i="1"/>
  <c r="F39" i="1"/>
  <c r="F45" i="1"/>
  <c r="R39" i="1"/>
  <c r="R45" i="1"/>
  <c r="Z45" i="1"/>
  <c r="V39" i="1"/>
  <c r="V45" i="1"/>
  <c r="E39" i="1"/>
  <c r="Q39" i="1"/>
  <c r="L45" i="1"/>
  <c r="L39" i="1"/>
  <c r="X39" i="1"/>
  <c r="X45" i="1"/>
  <c r="M45" i="1"/>
  <c r="M39" i="1"/>
  <c r="Y45" i="1"/>
  <c r="Y46" i="1" s="1"/>
  <c r="Y51" i="1" s="1"/>
  <c r="Y39" i="1"/>
  <c r="X19" i="1"/>
  <c r="X38" i="1" s="1"/>
  <c r="L19" i="1"/>
  <c r="L38" i="1" s="1"/>
  <c r="J19" i="1"/>
  <c r="J38" i="1" s="1"/>
  <c r="T19" i="1"/>
  <c r="T38" i="1" s="1"/>
  <c r="R19" i="1"/>
  <c r="R38" i="1" s="1"/>
  <c r="F19" i="1"/>
  <c r="F38" i="1" s="1"/>
  <c r="P19" i="1"/>
  <c r="P38" i="1" s="1"/>
  <c r="O19" i="1"/>
  <c r="O38" i="1" s="1"/>
  <c r="W19" i="1"/>
  <c r="W38" i="1" s="1"/>
  <c r="K19" i="1"/>
  <c r="K38" i="1" s="1"/>
  <c r="Q19" i="1"/>
  <c r="Q38" i="1" s="1"/>
  <c r="V19" i="1"/>
  <c r="V38" i="1" s="1"/>
  <c r="E19" i="1"/>
  <c r="E38" i="1" s="1"/>
  <c r="E40" i="1" s="1"/>
  <c r="D19" i="1"/>
  <c r="D38" i="1" s="1"/>
  <c r="U19" i="1"/>
  <c r="U38" i="1" s="1"/>
  <c r="I19" i="1"/>
  <c r="I38" i="1" s="1"/>
  <c r="H19" i="1"/>
  <c r="H38" i="1" s="1"/>
  <c r="S19" i="1"/>
  <c r="S38" i="1" s="1"/>
  <c r="G19" i="1"/>
  <c r="G38" i="1" s="1"/>
  <c r="C38" i="1"/>
  <c r="C45" i="1"/>
  <c r="C39" i="1"/>
  <c r="O45" i="1"/>
  <c r="O39" i="1"/>
  <c r="H45" i="1"/>
  <c r="H39" i="1"/>
  <c r="B45" i="1"/>
  <c r="N25" i="1"/>
  <c r="N44" i="1" s="1"/>
  <c r="F25" i="1"/>
  <c r="F44" i="1" s="1"/>
  <c r="G25" i="1"/>
  <c r="G44" i="1" s="1"/>
  <c r="S25" i="1"/>
  <c r="S44" i="1" s="1"/>
  <c r="C25" i="1"/>
  <c r="C44" i="1" s="1"/>
  <c r="B25" i="1"/>
  <c r="B44" i="1" s="1"/>
  <c r="E25" i="1"/>
  <c r="E44" i="1" s="1"/>
  <c r="E46" i="1" s="1"/>
  <c r="E51" i="1" s="1"/>
  <c r="T25" i="1"/>
  <c r="T44" i="1" s="1"/>
  <c r="I25" i="1"/>
  <c r="I44" i="1" s="1"/>
  <c r="U25" i="1"/>
  <c r="U44" i="1" s="1"/>
  <c r="Z25" i="1"/>
  <c r="Z44" i="1" s="1"/>
  <c r="O25" i="1"/>
  <c r="O44" i="1" s="1"/>
  <c r="D25" i="1"/>
  <c r="D44" i="1" s="1"/>
  <c r="P25" i="1"/>
  <c r="P44" i="1" s="1"/>
  <c r="Q25" i="1"/>
  <c r="Q44" i="1" s="1"/>
  <c r="Q46" i="1" s="1"/>
  <c r="Q51" i="1" s="1"/>
  <c r="R25" i="1"/>
  <c r="R44" i="1" s="1"/>
  <c r="H25" i="1"/>
  <c r="H44" i="1" s="1"/>
  <c r="J25" i="1"/>
  <c r="J44" i="1" s="1"/>
  <c r="V25" i="1"/>
  <c r="V44" i="1" s="1"/>
  <c r="M25" i="1"/>
  <c r="M44" i="1" s="1"/>
  <c r="Y40" i="1" l="1"/>
  <c r="Y50" i="1" s="1"/>
  <c r="J39" i="1"/>
  <c r="N45" i="1"/>
  <c r="F46" i="1"/>
  <c r="F51" i="1" s="1"/>
  <c r="B46" i="1"/>
  <c r="B51" i="1" s="1"/>
  <c r="X46" i="1"/>
  <c r="X51" i="1" s="1"/>
  <c r="M40" i="1"/>
  <c r="M50" i="1" s="1"/>
  <c r="J46" i="1"/>
  <c r="J51" i="1" s="1"/>
  <c r="H46" i="1"/>
  <c r="H51" i="1" s="1"/>
  <c r="G46" i="1"/>
  <c r="G51" i="1" s="1"/>
  <c r="I45" i="1"/>
  <c r="I46" i="1" s="1"/>
  <c r="I51" i="1" s="1"/>
  <c r="G40" i="1"/>
  <c r="G50" i="1" s="1"/>
  <c r="W45" i="1"/>
  <c r="W46" i="1" s="1"/>
  <c r="W51" i="1" s="1"/>
  <c r="Z46" i="1"/>
  <c r="Z51" i="1" s="1"/>
  <c r="V46" i="1"/>
  <c r="V51" i="1" s="1"/>
  <c r="W40" i="1"/>
  <c r="W50" i="1" s="1"/>
  <c r="O40" i="1"/>
  <c r="O50" i="1" s="1"/>
  <c r="R46" i="1"/>
  <c r="R51" i="1" s="1"/>
  <c r="D39" i="1"/>
  <c r="D40" i="1" s="1"/>
  <c r="D50" i="1" s="1"/>
  <c r="J40" i="1"/>
  <c r="J50" i="1" s="1"/>
  <c r="S46" i="1"/>
  <c r="S51" i="1" s="1"/>
  <c r="S40" i="1"/>
  <c r="S50" i="1" s="1"/>
  <c r="P39" i="1"/>
  <c r="P40" i="1" s="1"/>
  <c r="P50" i="1" s="1"/>
  <c r="R40" i="1"/>
  <c r="R50" i="1" s="1"/>
  <c r="U39" i="1"/>
  <c r="U40" i="1" s="1"/>
  <c r="U50" i="1" s="1"/>
  <c r="K40" i="1"/>
  <c r="K50" i="1" s="1"/>
  <c r="L46" i="1"/>
  <c r="L51" i="1" s="1"/>
  <c r="T40" i="1"/>
  <c r="T50" i="1" s="1"/>
  <c r="K45" i="1"/>
  <c r="K46" i="1" s="1"/>
  <c r="K51" i="1" s="1"/>
  <c r="O46" i="1"/>
  <c r="O51" i="1" s="1"/>
  <c r="I40" i="1"/>
  <c r="I50" i="1" s="1"/>
  <c r="N46" i="1"/>
  <c r="N51" i="1" s="1"/>
  <c r="U46" i="1"/>
  <c r="U51" i="1" s="1"/>
  <c r="F40" i="1"/>
  <c r="F50" i="1" s="1"/>
  <c r="C40" i="1"/>
  <c r="C50" i="1" s="1"/>
  <c r="T46" i="1"/>
  <c r="T51" i="1" s="1"/>
  <c r="M46" i="1"/>
  <c r="M51" i="1" s="1"/>
  <c r="C46" i="1"/>
  <c r="C51" i="1" s="1"/>
  <c r="L40" i="1"/>
  <c r="L50" i="1" s="1"/>
  <c r="H40" i="1"/>
  <c r="H50" i="1" s="1"/>
  <c r="E50" i="1"/>
  <c r="X40" i="1"/>
  <c r="X50" i="1" s="1"/>
  <c r="P46" i="1"/>
  <c r="P51" i="1" s="1"/>
  <c r="D46" i="1"/>
  <c r="D51" i="1" s="1"/>
  <c r="V40" i="1"/>
  <c r="V50" i="1" s="1"/>
  <c r="Q40" i="1"/>
  <c r="Q50" i="1" s="1"/>
</calcChain>
</file>

<file path=xl/sharedStrings.xml><?xml version="1.0" encoding="utf-8"?>
<sst xmlns="http://schemas.openxmlformats.org/spreadsheetml/2006/main" count="222" uniqueCount="51">
  <si>
    <t>d1</t>
  </si>
  <si>
    <t>huấn_luyện_viên chỉ_đạo các cầu_thủ đội_bóng tập_luyện chăm_chỉ để nâng_cao kỹ_năng ghi bàn_thắng trong trận_đấu</t>
  </si>
  <si>
    <t>d2</t>
  </si>
  <si>
    <t>trận_đấu giữa hai đội_bóng diễn_ra rất kịch_tính khi các cầu_thủ liên_tục tạo cơ_hội ghi bàn_thắng cho đội_mình</t>
  </si>
  <si>
    <t>D = {d1, d2}</t>
  </si>
  <si>
    <t>W = {bàn_thắng, các, cầu_thủ, chăm_chỉ, chỉ_đạo, cho, cơ_hội, để, diễn_ra, đội_bóng, đội_mình, ghi, giữa, hai, huấn_luyện_viên, khi, kịch_tính, kỹ_năng, liên_tục, nâng_cao, rất, tạo, tập_luyện, trận_đấu, trong}</t>
  </si>
  <si>
    <t>wk</t>
  </si>
  <si>
    <t>bàn_thắng</t>
  </si>
  <si>
    <t>các</t>
  </si>
  <si>
    <t>cầu_thủ</t>
  </si>
  <si>
    <t>chăm_chỉ</t>
  </si>
  <si>
    <t>chỉ_đạo</t>
  </si>
  <si>
    <t>cho</t>
  </si>
  <si>
    <t>cơ_hội</t>
  </si>
  <si>
    <t>để</t>
  </si>
  <si>
    <t>diễn_ra</t>
  </si>
  <si>
    <t>đội_bóng</t>
  </si>
  <si>
    <t>đội_mình</t>
  </si>
  <si>
    <t>ghi</t>
  </si>
  <si>
    <t>giữa</t>
  </si>
  <si>
    <t>hai</t>
  </si>
  <si>
    <t>huấn_luyện_viên</t>
  </si>
  <si>
    <t>khi</t>
  </si>
  <si>
    <t>kịch_tính</t>
  </si>
  <si>
    <t>kỹ_năng</t>
  </si>
  <si>
    <t>liên_tục</t>
  </si>
  <si>
    <t>nâng_cao</t>
  </si>
  <si>
    <t>rất</t>
  </si>
  <si>
    <t>tạo</t>
  </si>
  <si>
    <t>tập_luyện</t>
  </si>
  <si>
    <t>trận_đấu</t>
  </si>
  <si>
    <t>trong</t>
  </si>
  <si>
    <t>Tổng số từ trong d1</t>
  </si>
  <si>
    <t>Số lần xuất hiện</t>
  </si>
  <si>
    <t>TF(wk,d1)</t>
  </si>
  <si>
    <t>Tổng số từ trong d2</t>
  </si>
  <si>
    <t>TF(wk,d2)</t>
  </si>
  <si>
    <t>Tổng số câu văn bản trong tập D</t>
  </si>
  <si>
    <t>Số câu xuất hiện wk</t>
  </si>
  <si>
    <t>IDF(wk,D)</t>
  </si>
  <si>
    <t>TF-IDF(wk,d1,D)</t>
  </si>
  <si>
    <t>TF-IDF(wk,d2,D)</t>
  </si>
  <si>
    <t>Vector TF-IDF của các câu trong corpus</t>
  </si>
  <si>
    <t xml:space="preserve"> Từ 2 câu trên, tiến hành xây dựng từ điển chứa các từ xuất hiện trong từng câu.</t>
  </si>
  <si>
    <t>Sentences</t>
  </si>
  <si>
    <t>Câu a. Bag-of-Words</t>
  </si>
  <si>
    <t>Câu b. TF-IDF</t>
  </si>
  <si>
    <t>Bước 1, Xây dựng tập từ vựng có trong corpus:</t>
  </si>
  <si>
    <t xml:space="preserve">Bước 2: Tính TF.  </t>
  </si>
  <si>
    <t>Bước 3: Tính IDF</t>
  </si>
  <si>
    <t>Bước 4: Tính TF-IDF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</si>
</sst>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/>
    <xf numFmtId="164" fontId="1" fillId="2" borderId="1" xfId="0" applyNumberFormat="1" applyFont="1" applyFill="1" applyBorder="1" applyAlignment="1">
      <alignment horizontal="center" vertical="center"/>
    </xf>
    <xf numFmtId="0" fontId="0" fillId="0" borderId="0" xfId="0" applyFont="1"/>
    <xf numFmtId="0" fontId="1" fillId="0" borderId="0" xfId="0" applyFont="1"/>
    <xf numFmtId="0" fontId="3" fillId="3" borderId="0" xfId="0" applyFont="1" applyFill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0" borderId="0" xfId="0" applyFont="1"/>
    <xf numFmtId="0" fontId="3" fillId="2" borderId="0" xfId="0" applyFont="1" applyFill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Z51"/>
  <sheetViews>
    <sheetView tabSelected="1" zoomScale="70" zoomScaleNormal="70" workbookViewId="0">
      <selection activeCell="M12" sqref="M12"/>
    </sheetView>
  </sheetViews>
  <sheetFormatPr defaultRowHeight="14.4" x14ac:dyDescent="0.3"/>
  <cols>
    <col min="1" max="1" width="23" style="4" customWidth="1"/>
    <col min="2" max="15" width="14" style="4" customWidth="1"/>
    <col min="16" max="16" width="17.33203125" style="4" customWidth="1"/>
    <col min="17" max="26" width="14" style="4" customWidth="1"/>
    <col min="27" max="16384" width="8.88671875" style="4"/>
  </cols>
  <sheetData>
    <row r="2" spans="1:26" x14ac:dyDescent="0.3">
      <c r="A2" s="5" t="s">
        <v>43</v>
      </c>
    </row>
    <row r="3" spans="1:26" x14ac:dyDescent="0.3">
      <c r="A3" s="4" t="s">
        <v>5</v>
      </c>
    </row>
    <row r="5" spans="1:26" ht="15.6" x14ac:dyDescent="0.3">
      <c r="A5" s="6" t="s">
        <v>45</v>
      </c>
    </row>
    <row r="6" spans="1:26" x14ac:dyDescent="0.3">
      <c r="A6" s="7" t="s">
        <v>44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 t="s">
        <v>21</v>
      </c>
      <c r="Q6" s="7" t="s">
        <v>22</v>
      </c>
      <c r="R6" s="7" t="s">
        <v>23</v>
      </c>
      <c r="S6" s="7" t="s">
        <v>24</v>
      </c>
      <c r="T6" s="7" t="s">
        <v>25</v>
      </c>
      <c r="U6" s="7" t="s">
        <v>26</v>
      </c>
      <c r="V6" s="7" t="s">
        <v>27</v>
      </c>
      <c r="W6" s="7" t="s">
        <v>28</v>
      </c>
      <c r="X6" s="7" t="s">
        <v>29</v>
      </c>
      <c r="Y6" s="7" t="s">
        <v>30</v>
      </c>
      <c r="Z6" s="7" t="s">
        <v>31</v>
      </c>
    </row>
    <row r="7" spans="1:26" x14ac:dyDescent="0.3">
      <c r="A7" s="8" t="s">
        <v>0</v>
      </c>
      <c r="B7" s="1">
        <v>1</v>
      </c>
      <c r="C7" s="1">
        <v>1</v>
      </c>
      <c r="D7" s="1">
        <v>1</v>
      </c>
      <c r="E7" s="1">
        <v>1</v>
      </c>
      <c r="F7" s="1">
        <v>1</v>
      </c>
      <c r="G7" s="1">
        <v>0</v>
      </c>
      <c r="H7" s="1">
        <v>0</v>
      </c>
      <c r="I7" s="1">
        <v>1</v>
      </c>
      <c r="J7" s="1">
        <v>0</v>
      </c>
      <c r="K7" s="1">
        <v>1</v>
      </c>
      <c r="L7" s="1">
        <v>0</v>
      </c>
      <c r="M7" s="1">
        <v>1</v>
      </c>
      <c r="N7" s="1">
        <v>0</v>
      </c>
      <c r="O7" s="1">
        <v>0</v>
      </c>
      <c r="P7" s="1">
        <v>1</v>
      </c>
      <c r="Q7" s="1">
        <v>0</v>
      </c>
      <c r="R7" s="1">
        <v>0</v>
      </c>
      <c r="S7" s="1">
        <v>1</v>
      </c>
      <c r="T7" s="1">
        <v>0</v>
      </c>
      <c r="U7" s="1">
        <v>1</v>
      </c>
      <c r="V7" s="1">
        <v>0</v>
      </c>
      <c r="W7" s="1">
        <v>0</v>
      </c>
      <c r="X7" s="1">
        <v>1</v>
      </c>
      <c r="Y7" s="1">
        <v>1</v>
      </c>
      <c r="Z7" s="1">
        <v>1</v>
      </c>
    </row>
    <row r="8" spans="1:26" x14ac:dyDescent="0.3">
      <c r="A8" s="8" t="s">
        <v>2</v>
      </c>
      <c r="B8" s="1">
        <v>1</v>
      </c>
      <c r="C8" s="1">
        <v>1</v>
      </c>
      <c r="D8" s="1">
        <v>1</v>
      </c>
      <c r="E8" s="1">
        <v>0</v>
      </c>
      <c r="F8" s="1">
        <v>0</v>
      </c>
      <c r="G8" s="1">
        <v>1</v>
      </c>
      <c r="H8" s="1">
        <v>1</v>
      </c>
      <c r="I8" s="1">
        <v>0</v>
      </c>
      <c r="J8" s="1">
        <v>1</v>
      </c>
      <c r="K8" s="1">
        <v>1</v>
      </c>
      <c r="L8" s="1">
        <v>1</v>
      </c>
      <c r="M8" s="1">
        <v>1</v>
      </c>
      <c r="N8" s="1">
        <v>1</v>
      </c>
      <c r="O8" s="1">
        <v>1</v>
      </c>
      <c r="P8" s="1">
        <v>0</v>
      </c>
      <c r="Q8" s="1">
        <v>1</v>
      </c>
      <c r="R8" s="1">
        <v>1</v>
      </c>
      <c r="S8" s="1">
        <v>0</v>
      </c>
      <c r="T8" s="1">
        <v>1</v>
      </c>
      <c r="U8" s="1">
        <v>0</v>
      </c>
      <c r="V8" s="1">
        <v>1</v>
      </c>
      <c r="W8" s="1">
        <v>1</v>
      </c>
      <c r="X8" s="1">
        <v>0</v>
      </c>
      <c r="Y8" s="1">
        <v>1</v>
      </c>
      <c r="Z8" s="1">
        <v>0</v>
      </c>
    </row>
    <row r="10" spans="1:26" ht="15.6" x14ac:dyDescent="0.3">
      <c r="A10" s="6" t="s">
        <v>46</v>
      </c>
    </row>
    <row r="11" spans="1:26" s="9" customFormat="1" x14ac:dyDescent="0.3">
      <c r="A11" s="9" t="s">
        <v>4</v>
      </c>
    </row>
    <row r="12" spans="1:26" ht="15.6" x14ac:dyDescent="0.3">
      <c r="A12" s="10" t="s">
        <v>47</v>
      </c>
    </row>
    <row r="13" spans="1:26" x14ac:dyDescent="0.3">
      <c r="A13" s="4" t="s">
        <v>5</v>
      </c>
    </row>
    <row r="14" spans="1:26" x14ac:dyDescent="0.3">
      <c r="A14" s="9" t="s">
        <v>48</v>
      </c>
    </row>
    <row r="15" spans="1:26" x14ac:dyDescent="0.3">
      <c r="A15" s="9" t="s">
        <v>0</v>
      </c>
      <c r="B15" s="4" t="s">
        <v>1</v>
      </c>
    </row>
    <row r="16" spans="1:26" x14ac:dyDescent="0.3">
      <c r="A16" s="9" t="s">
        <v>32</v>
      </c>
      <c r="B16" s="4">
        <f>SUM(B18:Z18)</f>
        <v>14</v>
      </c>
    </row>
    <row r="17" spans="1:26" x14ac:dyDescent="0.3">
      <c r="A17" s="7" t="s">
        <v>6</v>
      </c>
      <c r="B17" s="7" t="s">
        <v>7</v>
      </c>
      <c r="C17" s="7" t="s">
        <v>8</v>
      </c>
      <c r="D17" s="7" t="s">
        <v>9</v>
      </c>
      <c r="E17" s="7" t="s">
        <v>10</v>
      </c>
      <c r="F17" s="7" t="s">
        <v>11</v>
      </c>
      <c r="G17" s="7" t="s">
        <v>12</v>
      </c>
      <c r="H17" s="7" t="s">
        <v>13</v>
      </c>
      <c r="I17" s="7" t="s">
        <v>14</v>
      </c>
      <c r="J17" s="7" t="s">
        <v>15</v>
      </c>
      <c r="K17" s="7" t="s">
        <v>16</v>
      </c>
      <c r="L17" s="7" t="s">
        <v>17</v>
      </c>
      <c r="M17" s="7" t="s">
        <v>18</v>
      </c>
      <c r="N17" s="7" t="s">
        <v>19</v>
      </c>
      <c r="O17" s="7" t="s">
        <v>20</v>
      </c>
      <c r="P17" s="7" t="s">
        <v>21</v>
      </c>
      <c r="Q17" s="7" t="s">
        <v>22</v>
      </c>
      <c r="R17" s="7" t="s">
        <v>23</v>
      </c>
      <c r="S17" s="7" t="s">
        <v>24</v>
      </c>
      <c r="T17" s="7" t="s">
        <v>25</v>
      </c>
      <c r="U17" s="7" t="s">
        <v>26</v>
      </c>
      <c r="V17" s="7" t="s">
        <v>27</v>
      </c>
      <c r="W17" s="7" t="s">
        <v>28</v>
      </c>
      <c r="X17" s="7" t="s">
        <v>29</v>
      </c>
      <c r="Y17" s="7" t="s">
        <v>30</v>
      </c>
      <c r="Z17" s="7" t="s">
        <v>31</v>
      </c>
    </row>
    <row r="18" spans="1:26" x14ac:dyDescent="0.3">
      <c r="A18" s="11" t="s">
        <v>33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0</v>
      </c>
      <c r="H18" s="1">
        <v>0</v>
      </c>
      <c r="I18" s="1">
        <v>1</v>
      </c>
      <c r="J18" s="1">
        <v>0</v>
      </c>
      <c r="K18" s="1">
        <v>1</v>
      </c>
      <c r="L18" s="1">
        <v>0</v>
      </c>
      <c r="M18" s="1">
        <v>1</v>
      </c>
      <c r="N18" s="1">
        <v>0</v>
      </c>
      <c r="O18" s="1">
        <v>0</v>
      </c>
      <c r="P18" s="1">
        <v>1</v>
      </c>
      <c r="Q18" s="1">
        <v>0</v>
      </c>
      <c r="R18" s="1">
        <v>0</v>
      </c>
      <c r="S18" s="1">
        <v>1</v>
      </c>
      <c r="T18" s="1">
        <v>0</v>
      </c>
      <c r="U18" s="1">
        <v>1</v>
      </c>
      <c r="V18" s="1">
        <v>0</v>
      </c>
      <c r="W18" s="1">
        <v>0</v>
      </c>
      <c r="X18" s="1">
        <v>1</v>
      </c>
      <c r="Y18" s="1">
        <v>1</v>
      </c>
      <c r="Z18" s="1">
        <v>1</v>
      </c>
    </row>
    <row r="19" spans="1:26" x14ac:dyDescent="0.3">
      <c r="A19" s="11" t="s">
        <v>34</v>
      </c>
      <c r="B19" s="3">
        <f>B18/$B$16</f>
        <v>7.1428571428571425E-2</v>
      </c>
      <c r="C19" s="3">
        <f>C18/$B$16</f>
        <v>7.1428571428571425E-2</v>
      </c>
      <c r="D19" s="3">
        <f t="shared" ref="D19:Z19" si="0">D18/$B$16</f>
        <v>7.1428571428571425E-2</v>
      </c>
      <c r="E19" s="3">
        <f t="shared" si="0"/>
        <v>7.1428571428571425E-2</v>
      </c>
      <c r="F19" s="3">
        <f t="shared" si="0"/>
        <v>7.1428571428571425E-2</v>
      </c>
      <c r="G19" s="3">
        <f t="shared" si="0"/>
        <v>0</v>
      </c>
      <c r="H19" s="3">
        <f t="shared" si="0"/>
        <v>0</v>
      </c>
      <c r="I19" s="3">
        <f t="shared" si="0"/>
        <v>7.1428571428571425E-2</v>
      </c>
      <c r="J19" s="3">
        <f t="shared" si="0"/>
        <v>0</v>
      </c>
      <c r="K19" s="3">
        <f t="shared" si="0"/>
        <v>7.1428571428571425E-2</v>
      </c>
      <c r="L19" s="3">
        <f t="shared" si="0"/>
        <v>0</v>
      </c>
      <c r="M19" s="3">
        <f t="shared" si="0"/>
        <v>7.1428571428571425E-2</v>
      </c>
      <c r="N19" s="3">
        <f t="shared" si="0"/>
        <v>0</v>
      </c>
      <c r="O19" s="3">
        <f t="shared" si="0"/>
        <v>0</v>
      </c>
      <c r="P19" s="3">
        <f t="shared" si="0"/>
        <v>7.1428571428571425E-2</v>
      </c>
      <c r="Q19" s="3">
        <f t="shared" si="0"/>
        <v>0</v>
      </c>
      <c r="R19" s="3">
        <f t="shared" si="0"/>
        <v>0</v>
      </c>
      <c r="S19" s="3">
        <f t="shared" si="0"/>
        <v>7.1428571428571425E-2</v>
      </c>
      <c r="T19" s="3">
        <f t="shared" si="0"/>
        <v>0</v>
      </c>
      <c r="U19" s="3">
        <f t="shared" si="0"/>
        <v>7.1428571428571425E-2</v>
      </c>
      <c r="V19" s="3">
        <f t="shared" si="0"/>
        <v>0</v>
      </c>
      <c r="W19" s="3">
        <f t="shared" si="0"/>
        <v>0</v>
      </c>
      <c r="X19" s="3">
        <f t="shared" si="0"/>
        <v>7.1428571428571425E-2</v>
      </c>
      <c r="Y19" s="3">
        <f t="shared" si="0"/>
        <v>7.1428571428571425E-2</v>
      </c>
      <c r="Z19" s="3">
        <f t="shared" si="0"/>
        <v>7.1428571428571425E-2</v>
      </c>
    </row>
    <row r="21" spans="1:26" x14ac:dyDescent="0.3">
      <c r="A21" s="9" t="s">
        <v>2</v>
      </c>
      <c r="B21" s="4" t="s">
        <v>3</v>
      </c>
    </row>
    <row r="22" spans="1:26" x14ac:dyDescent="0.3">
      <c r="A22" s="9" t="s">
        <v>35</v>
      </c>
      <c r="B22" s="4">
        <f>SUM(B24:Z24)</f>
        <v>17</v>
      </c>
    </row>
    <row r="23" spans="1:26" s="2" customFormat="1" x14ac:dyDescent="0.3">
      <c r="A23" s="7" t="s">
        <v>6</v>
      </c>
      <c r="B23" s="7" t="s">
        <v>7</v>
      </c>
      <c r="C23" s="7" t="s">
        <v>8</v>
      </c>
      <c r="D23" s="7" t="s">
        <v>9</v>
      </c>
      <c r="E23" s="7" t="s">
        <v>10</v>
      </c>
      <c r="F23" s="7" t="s">
        <v>11</v>
      </c>
      <c r="G23" s="7" t="s">
        <v>12</v>
      </c>
      <c r="H23" s="7" t="s">
        <v>13</v>
      </c>
      <c r="I23" s="7" t="s">
        <v>14</v>
      </c>
      <c r="J23" s="7" t="s">
        <v>15</v>
      </c>
      <c r="K23" s="7" t="s">
        <v>16</v>
      </c>
      <c r="L23" s="7" t="s">
        <v>17</v>
      </c>
      <c r="M23" s="7" t="s">
        <v>18</v>
      </c>
      <c r="N23" s="7" t="s">
        <v>19</v>
      </c>
      <c r="O23" s="7" t="s">
        <v>20</v>
      </c>
      <c r="P23" s="7" t="s">
        <v>21</v>
      </c>
      <c r="Q23" s="7" t="s">
        <v>22</v>
      </c>
      <c r="R23" s="7" t="s">
        <v>23</v>
      </c>
      <c r="S23" s="7" t="s">
        <v>24</v>
      </c>
      <c r="T23" s="7" t="s">
        <v>25</v>
      </c>
      <c r="U23" s="7" t="s">
        <v>26</v>
      </c>
      <c r="V23" s="7" t="s">
        <v>27</v>
      </c>
      <c r="W23" s="7" t="s">
        <v>28</v>
      </c>
      <c r="X23" s="7" t="s">
        <v>29</v>
      </c>
      <c r="Y23" s="7" t="s">
        <v>30</v>
      </c>
      <c r="Z23" s="7" t="s">
        <v>31</v>
      </c>
    </row>
    <row r="24" spans="1:26" s="2" customFormat="1" x14ac:dyDescent="0.3">
      <c r="A24" s="11" t="s">
        <v>33</v>
      </c>
      <c r="B24" s="1">
        <v>1</v>
      </c>
      <c r="C24" s="1">
        <v>1</v>
      </c>
      <c r="D24" s="1">
        <v>1</v>
      </c>
      <c r="E24" s="1">
        <v>0</v>
      </c>
      <c r="F24" s="1">
        <v>0</v>
      </c>
      <c r="G24" s="1">
        <v>1</v>
      </c>
      <c r="H24" s="1">
        <v>1</v>
      </c>
      <c r="I24" s="1">
        <v>0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0</v>
      </c>
      <c r="Q24" s="1">
        <v>1</v>
      </c>
      <c r="R24" s="1">
        <v>1</v>
      </c>
      <c r="S24" s="1">
        <v>0</v>
      </c>
      <c r="T24" s="1">
        <v>1</v>
      </c>
      <c r="U24" s="1">
        <v>0</v>
      </c>
      <c r="V24" s="1">
        <v>1</v>
      </c>
      <c r="W24" s="1">
        <v>1</v>
      </c>
      <c r="X24" s="1">
        <v>0</v>
      </c>
      <c r="Y24" s="1">
        <v>1</v>
      </c>
      <c r="Z24" s="1">
        <v>0</v>
      </c>
    </row>
    <row r="25" spans="1:26" s="2" customFormat="1" x14ac:dyDescent="0.3">
      <c r="A25" s="11" t="s">
        <v>36</v>
      </c>
      <c r="B25" s="3">
        <f t="shared" ref="B25:Z25" si="1">B24/$B$22</f>
        <v>5.8823529411764705E-2</v>
      </c>
      <c r="C25" s="3">
        <f t="shared" si="1"/>
        <v>5.8823529411764705E-2</v>
      </c>
      <c r="D25" s="3">
        <f t="shared" si="1"/>
        <v>5.8823529411764705E-2</v>
      </c>
      <c r="E25" s="3">
        <f t="shared" si="1"/>
        <v>0</v>
      </c>
      <c r="F25" s="3">
        <f t="shared" si="1"/>
        <v>0</v>
      </c>
      <c r="G25" s="3">
        <f t="shared" si="1"/>
        <v>5.8823529411764705E-2</v>
      </c>
      <c r="H25" s="3">
        <f t="shared" si="1"/>
        <v>5.8823529411764705E-2</v>
      </c>
      <c r="I25" s="3">
        <f t="shared" si="1"/>
        <v>0</v>
      </c>
      <c r="J25" s="3">
        <f t="shared" si="1"/>
        <v>5.8823529411764705E-2</v>
      </c>
      <c r="K25" s="3">
        <f t="shared" si="1"/>
        <v>5.8823529411764705E-2</v>
      </c>
      <c r="L25" s="3">
        <f t="shared" si="1"/>
        <v>5.8823529411764705E-2</v>
      </c>
      <c r="M25" s="3">
        <f t="shared" si="1"/>
        <v>5.8823529411764705E-2</v>
      </c>
      <c r="N25" s="3">
        <f t="shared" si="1"/>
        <v>5.8823529411764705E-2</v>
      </c>
      <c r="O25" s="3">
        <f t="shared" si="1"/>
        <v>5.8823529411764705E-2</v>
      </c>
      <c r="P25" s="3">
        <f t="shared" si="1"/>
        <v>0</v>
      </c>
      <c r="Q25" s="3">
        <f t="shared" si="1"/>
        <v>5.8823529411764705E-2</v>
      </c>
      <c r="R25" s="3">
        <f t="shared" si="1"/>
        <v>5.8823529411764705E-2</v>
      </c>
      <c r="S25" s="3">
        <f t="shared" si="1"/>
        <v>0</v>
      </c>
      <c r="T25" s="3">
        <f t="shared" si="1"/>
        <v>5.8823529411764705E-2</v>
      </c>
      <c r="U25" s="3">
        <f t="shared" si="1"/>
        <v>0</v>
      </c>
      <c r="V25" s="3">
        <f t="shared" si="1"/>
        <v>5.8823529411764705E-2</v>
      </c>
      <c r="W25" s="3">
        <f t="shared" si="1"/>
        <v>5.8823529411764705E-2</v>
      </c>
      <c r="X25" s="3">
        <f t="shared" si="1"/>
        <v>0</v>
      </c>
      <c r="Y25" s="3">
        <f t="shared" si="1"/>
        <v>5.8823529411764705E-2</v>
      </c>
      <c r="Z25" s="3">
        <f t="shared" si="1"/>
        <v>0</v>
      </c>
    </row>
    <row r="27" spans="1:26" x14ac:dyDescent="0.3">
      <c r="A27" s="9" t="s">
        <v>49</v>
      </c>
    </row>
    <row r="28" spans="1:26" x14ac:dyDescent="0.3">
      <c r="A28" s="9" t="s">
        <v>37</v>
      </c>
      <c r="B28" s="4">
        <v>2</v>
      </c>
    </row>
    <row r="29" spans="1:26" s="2" customFormat="1" x14ac:dyDescent="0.3">
      <c r="A29" s="7" t="s">
        <v>6</v>
      </c>
      <c r="B29" s="7" t="s">
        <v>7</v>
      </c>
      <c r="C29" s="7" t="s">
        <v>8</v>
      </c>
      <c r="D29" s="7" t="s">
        <v>9</v>
      </c>
      <c r="E29" s="7" t="s">
        <v>10</v>
      </c>
      <c r="F29" s="7" t="s">
        <v>11</v>
      </c>
      <c r="G29" s="7" t="s">
        <v>12</v>
      </c>
      <c r="H29" s="7" t="s">
        <v>13</v>
      </c>
      <c r="I29" s="7" t="s">
        <v>14</v>
      </c>
      <c r="J29" s="7" t="s">
        <v>15</v>
      </c>
      <c r="K29" s="7" t="s">
        <v>16</v>
      </c>
      <c r="L29" s="7" t="s">
        <v>17</v>
      </c>
      <c r="M29" s="7" t="s">
        <v>18</v>
      </c>
      <c r="N29" s="7" t="s">
        <v>19</v>
      </c>
      <c r="O29" s="7" t="s">
        <v>20</v>
      </c>
      <c r="P29" s="7" t="s">
        <v>21</v>
      </c>
      <c r="Q29" s="7" t="s">
        <v>22</v>
      </c>
      <c r="R29" s="7" t="s">
        <v>23</v>
      </c>
      <c r="S29" s="7" t="s">
        <v>24</v>
      </c>
      <c r="T29" s="7" t="s">
        <v>25</v>
      </c>
      <c r="U29" s="7" t="s">
        <v>26</v>
      </c>
      <c r="V29" s="7" t="s">
        <v>27</v>
      </c>
      <c r="W29" s="7" t="s">
        <v>28</v>
      </c>
      <c r="X29" s="7" t="s">
        <v>29</v>
      </c>
      <c r="Y29" s="7" t="s">
        <v>30</v>
      </c>
      <c r="Z29" s="7" t="s">
        <v>31</v>
      </c>
    </row>
    <row r="30" spans="1:26" s="2" customFormat="1" x14ac:dyDescent="0.3">
      <c r="A30" s="11" t="s">
        <v>0</v>
      </c>
      <c r="B30" s="1">
        <f t="shared" ref="B30:Z30" si="2">B18</f>
        <v>1</v>
      </c>
      <c r="C30" s="1">
        <f t="shared" si="2"/>
        <v>1</v>
      </c>
      <c r="D30" s="1">
        <f t="shared" si="2"/>
        <v>1</v>
      </c>
      <c r="E30" s="1">
        <f t="shared" si="2"/>
        <v>1</v>
      </c>
      <c r="F30" s="1">
        <f t="shared" si="2"/>
        <v>1</v>
      </c>
      <c r="G30" s="1">
        <f t="shared" si="2"/>
        <v>0</v>
      </c>
      <c r="H30" s="1">
        <f t="shared" si="2"/>
        <v>0</v>
      </c>
      <c r="I30" s="1">
        <f t="shared" si="2"/>
        <v>1</v>
      </c>
      <c r="J30" s="1">
        <f t="shared" si="2"/>
        <v>0</v>
      </c>
      <c r="K30" s="1">
        <f t="shared" si="2"/>
        <v>1</v>
      </c>
      <c r="L30" s="1">
        <f t="shared" si="2"/>
        <v>0</v>
      </c>
      <c r="M30" s="1">
        <f t="shared" si="2"/>
        <v>1</v>
      </c>
      <c r="N30" s="1">
        <f t="shared" si="2"/>
        <v>0</v>
      </c>
      <c r="O30" s="1">
        <f t="shared" si="2"/>
        <v>0</v>
      </c>
      <c r="P30" s="1">
        <f t="shared" si="2"/>
        <v>1</v>
      </c>
      <c r="Q30" s="1">
        <f t="shared" si="2"/>
        <v>0</v>
      </c>
      <c r="R30" s="1">
        <f t="shared" si="2"/>
        <v>0</v>
      </c>
      <c r="S30" s="1">
        <f t="shared" si="2"/>
        <v>1</v>
      </c>
      <c r="T30" s="1">
        <f t="shared" si="2"/>
        <v>0</v>
      </c>
      <c r="U30" s="1">
        <f t="shared" si="2"/>
        <v>1</v>
      </c>
      <c r="V30" s="1">
        <f t="shared" si="2"/>
        <v>0</v>
      </c>
      <c r="W30" s="1">
        <f t="shared" si="2"/>
        <v>0</v>
      </c>
      <c r="X30" s="1">
        <f t="shared" si="2"/>
        <v>1</v>
      </c>
      <c r="Y30" s="1">
        <f t="shared" si="2"/>
        <v>1</v>
      </c>
      <c r="Z30" s="1">
        <f t="shared" si="2"/>
        <v>1</v>
      </c>
    </row>
    <row r="31" spans="1:26" s="2" customFormat="1" x14ac:dyDescent="0.3">
      <c r="A31" s="11" t="s">
        <v>2</v>
      </c>
      <c r="B31" s="1">
        <f t="shared" ref="B31:Z31" si="3">B24</f>
        <v>1</v>
      </c>
      <c r="C31" s="1">
        <f t="shared" si="3"/>
        <v>1</v>
      </c>
      <c r="D31" s="1">
        <f t="shared" si="3"/>
        <v>1</v>
      </c>
      <c r="E31" s="1">
        <f t="shared" si="3"/>
        <v>0</v>
      </c>
      <c r="F31" s="1">
        <f t="shared" si="3"/>
        <v>0</v>
      </c>
      <c r="G31" s="1">
        <f t="shared" si="3"/>
        <v>1</v>
      </c>
      <c r="H31" s="1">
        <f t="shared" si="3"/>
        <v>1</v>
      </c>
      <c r="I31" s="1">
        <f t="shared" si="3"/>
        <v>0</v>
      </c>
      <c r="J31" s="1">
        <f t="shared" si="3"/>
        <v>1</v>
      </c>
      <c r="K31" s="1">
        <f t="shared" si="3"/>
        <v>1</v>
      </c>
      <c r="L31" s="1">
        <f t="shared" si="3"/>
        <v>1</v>
      </c>
      <c r="M31" s="1">
        <f t="shared" si="3"/>
        <v>1</v>
      </c>
      <c r="N31" s="1">
        <f t="shared" si="3"/>
        <v>1</v>
      </c>
      <c r="O31" s="1">
        <f t="shared" si="3"/>
        <v>1</v>
      </c>
      <c r="P31" s="1">
        <f t="shared" si="3"/>
        <v>0</v>
      </c>
      <c r="Q31" s="1">
        <f t="shared" si="3"/>
        <v>1</v>
      </c>
      <c r="R31" s="1">
        <f t="shared" si="3"/>
        <v>1</v>
      </c>
      <c r="S31" s="1">
        <f t="shared" si="3"/>
        <v>0</v>
      </c>
      <c r="T31" s="1">
        <f t="shared" si="3"/>
        <v>1</v>
      </c>
      <c r="U31" s="1">
        <f t="shared" si="3"/>
        <v>0</v>
      </c>
      <c r="V31" s="1">
        <f t="shared" si="3"/>
        <v>1</v>
      </c>
      <c r="W31" s="1">
        <f t="shared" si="3"/>
        <v>1</v>
      </c>
      <c r="X31" s="1">
        <f t="shared" si="3"/>
        <v>0</v>
      </c>
      <c r="Y31" s="1">
        <f t="shared" si="3"/>
        <v>1</v>
      </c>
      <c r="Z31" s="1">
        <f t="shared" si="3"/>
        <v>0</v>
      </c>
    </row>
    <row r="32" spans="1:26" s="2" customFormat="1" x14ac:dyDescent="0.3">
      <c r="A32" s="11" t="s">
        <v>38</v>
      </c>
      <c r="B32" s="1">
        <f t="shared" ref="B32:Z32" si="4">COUNTIF(B30:B31,"&gt;0")</f>
        <v>2</v>
      </c>
      <c r="C32" s="1">
        <f t="shared" si="4"/>
        <v>2</v>
      </c>
      <c r="D32" s="1">
        <f t="shared" si="4"/>
        <v>2</v>
      </c>
      <c r="E32" s="1">
        <f t="shared" si="4"/>
        <v>1</v>
      </c>
      <c r="F32" s="1">
        <f t="shared" si="4"/>
        <v>1</v>
      </c>
      <c r="G32" s="1">
        <f t="shared" si="4"/>
        <v>1</v>
      </c>
      <c r="H32" s="1">
        <f t="shared" si="4"/>
        <v>1</v>
      </c>
      <c r="I32" s="1">
        <f t="shared" si="4"/>
        <v>1</v>
      </c>
      <c r="J32" s="1">
        <f t="shared" si="4"/>
        <v>1</v>
      </c>
      <c r="K32" s="1">
        <f t="shared" si="4"/>
        <v>2</v>
      </c>
      <c r="L32" s="1">
        <f t="shared" si="4"/>
        <v>1</v>
      </c>
      <c r="M32" s="1">
        <f t="shared" si="4"/>
        <v>2</v>
      </c>
      <c r="N32" s="1">
        <f t="shared" si="4"/>
        <v>1</v>
      </c>
      <c r="O32" s="1">
        <f t="shared" si="4"/>
        <v>1</v>
      </c>
      <c r="P32" s="1">
        <f t="shared" si="4"/>
        <v>1</v>
      </c>
      <c r="Q32" s="1">
        <f t="shared" si="4"/>
        <v>1</v>
      </c>
      <c r="R32" s="1">
        <f t="shared" si="4"/>
        <v>1</v>
      </c>
      <c r="S32" s="1">
        <f t="shared" si="4"/>
        <v>1</v>
      </c>
      <c r="T32" s="1">
        <f t="shared" si="4"/>
        <v>1</v>
      </c>
      <c r="U32" s="1">
        <f t="shared" si="4"/>
        <v>1</v>
      </c>
      <c r="V32" s="1">
        <f t="shared" si="4"/>
        <v>1</v>
      </c>
      <c r="W32" s="1">
        <f t="shared" si="4"/>
        <v>1</v>
      </c>
      <c r="X32" s="1">
        <f t="shared" si="4"/>
        <v>1</v>
      </c>
      <c r="Y32" s="1">
        <f t="shared" si="4"/>
        <v>2</v>
      </c>
      <c r="Z32" s="1">
        <f t="shared" si="4"/>
        <v>1</v>
      </c>
    </row>
    <row r="33" spans="1:26" s="2" customFormat="1" x14ac:dyDescent="0.3">
      <c r="A33" s="11" t="s">
        <v>39</v>
      </c>
      <c r="B33" s="3">
        <f>LOG10($B$28/B32)</f>
        <v>0</v>
      </c>
      <c r="C33" s="3">
        <f t="shared" ref="C33:Z33" si="5">LOG10($B$28/C32)</f>
        <v>0</v>
      </c>
      <c r="D33" s="3">
        <f t="shared" si="5"/>
        <v>0</v>
      </c>
      <c r="E33" s="3">
        <f t="shared" si="5"/>
        <v>0.3010299956639812</v>
      </c>
      <c r="F33" s="3">
        <f t="shared" si="5"/>
        <v>0.3010299956639812</v>
      </c>
      <c r="G33" s="3">
        <f t="shared" si="5"/>
        <v>0.3010299956639812</v>
      </c>
      <c r="H33" s="3">
        <f t="shared" si="5"/>
        <v>0.3010299956639812</v>
      </c>
      <c r="I33" s="3">
        <f t="shared" si="5"/>
        <v>0.3010299956639812</v>
      </c>
      <c r="J33" s="3">
        <f t="shared" si="5"/>
        <v>0.3010299956639812</v>
      </c>
      <c r="K33" s="3">
        <f t="shared" si="5"/>
        <v>0</v>
      </c>
      <c r="L33" s="3">
        <f t="shared" si="5"/>
        <v>0.3010299956639812</v>
      </c>
      <c r="M33" s="3">
        <f t="shared" si="5"/>
        <v>0</v>
      </c>
      <c r="N33" s="3">
        <f t="shared" si="5"/>
        <v>0.3010299956639812</v>
      </c>
      <c r="O33" s="3">
        <f t="shared" si="5"/>
        <v>0.3010299956639812</v>
      </c>
      <c r="P33" s="3">
        <f t="shared" si="5"/>
        <v>0.3010299956639812</v>
      </c>
      <c r="Q33" s="3">
        <f t="shared" si="5"/>
        <v>0.3010299956639812</v>
      </c>
      <c r="R33" s="3">
        <f t="shared" si="5"/>
        <v>0.3010299956639812</v>
      </c>
      <c r="S33" s="3">
        <f t="shared" si="5"/>
        <v>0.3010299956639812</v>
      </c>
      <c r="T33" s="3">
        <f t="shared" si="5"/>
        <v>0.3010299956639812</v>
      </c>
      <c r="U33" s="3">
        <f t="shared" si="5"/>
        <v>0.3010299956639812</v>
      </c>
      <c r="V33" s="3">
        <f t="shared" si="5"/>
        <v>0.3010299956639812</v>
      </c>
      <c r="W33" s="3">
        <f t="shared" si="5"/>
        <v>0.3010299956639812</v>
      </c>
      <c r="X33" s="3">
        <f t="shared" si="5"/>
        <v>0.3010299956639812</v>
      </c>
      <c r="Y33" s="3">
        <f t="shared" si="5"/>
        <v>0</v>
      </c>
      <c r="Z33" s="3">
        <f t="shared" si="5"/>
        <v>0.3010299956639812</v>
      </c>
    </row>
    <row r="35" spans="1:26" x14ac:dyDescent="0.3">
      <c r="A35" s="9" t="s">
        <v>50</v>
      </c>
    </row>
    <row r="36" spans="1:26" x14ac:dyDescent="0.3">
      <c r="A36" s="9" t="s">
        <v>0</v>
      </c>
      <c r="B36" s="4" t="s">
        <v>1</v>
      </c>
    </row>
    <row r="37" spans="1:26" s="2" customFormat="1" x14ac:dyDescent="0.3">
      <c r="A37" s="7" t="s">
        <v>6</v>
      </c>
      <c r="B37" s="7" t="s">
        <v>7</v>
      </c>
      <c r="C37" s="7" t="s">
        <v>8</v>
      </c>
      <c r="D37" s="7" t="s">
        <v>9</v>
      </c>
      <c r="E37" s="7" t="s">
        <v>10</v>
      </c>
      <c r="F37" s="7" t="s">
        <v>11</v>
      </c>
      <c r="G37" s="7" t="s">
        <v>12</v>
      </c>
      <c r="H37" s="7" t="s">
        <v>13</v>
      </c>
      <c r="I37" s="7" t="s">
        <v>14</v>
      </c>
      <c r="J37" s="7" t="s">
        <v>15</v>
      </c>
      <c r="K37" s="7" t="s">
        <v>16</v>
      </c>
      <c r="L37" s="7" t="s">
        <v>17</v>
      </c>
      <c r="M37" s="7" t="s">
        <v>18</v>
      </c>
      <c r="N37" s="7" t="s">
        <v>19</v>
      </c>
      <c r="O37" s="7" t="s">
        <v>20</v>
      </c>
      <c r="P37" s="7" t="s">
        <v>21</v>
      </c>
      <c r="Q37" s="7" t="s">
        <v>22</v>
      </c>
      <c r="R37" s="7" t="s">
        <v>23</v>
      </c>
      <c r="S37" s="7" t="s">
        <v>24</v>
      </c>
      <c r="T37" s="7" t="s">
        <v>25</v>
      </c>
      <c r="U37" s="7" t="s">
        <v>26</v>
      </c>
      <c r="V37" s="7" t="s">
        <v>27</v>
      </c>
      <c r="W37" s="7" t="s">
        <v>28</v>
      </c>
      <c r="X37" s="7" t="s">
        <v>29</v>
      </c>
      <c r="Y37" s="7" t="s">
        <v>30</v>
      </c>
      <c r="Z37" s="7" t="s">
        <v>31</v>
      </c>
    </row>
    <row r="38" spans="1:26" s="2" customFormat="1" x14ac:dyDescent="0.3">
      <c r="A38" s="11" t="s">
        <v>34</v>
      </c>
      <c r="B38" s="3">
        <f t="shared" ref="B38:Z38" si="6">B19</f>
        <v>7.1428571428571425E-2</v>
      </c>
      <c r="C38" s="3">
        <f t="shared" si="6"/>
        <v>7.1428571428571425E-2</v>
      </c>
      <c r="D38" s="3">
        <f t="shared" si="6"/>
        <v>7.1428571428571425E-2</v>
      </c>
      <c r="E38" s="3">
        <f t="shared" si="6"/>
        <v>7.1428571428571425E-2</v>
      </c>
      <c r="F38" s="3">
        <f t="shared" si="6"/>
        <v>7.1428571428571425E-2</v>
      </c>
      <c r="G38" s="3">
        <f t="shared" si="6"/>
        <v>0</v>
      </c>
      <c r="H38" s="3">
        <f t="shared" si="6"/>
        <v>0</v>
      </c>
      <c r="I38" s="3">
        <f t="shared" si="6"/>
        <v>7.1428571428571425E-2</v>
      </c>
      <c r="J38" s="3">
        <f t="shared" si="6"/>
        <v>0</v>
      </c>
      <c r="K38" s="3">
        <f t="shared" si="6"/>
        <v>7.1428571428571425E-2</v>
      </c>
      <c r="L38" s="3">
        <f t="shared" si="6"/>
        <v>0</v>
      </c>
      <c r="M38" s="3">
        <f t="shared" si="6"/>
        <v>7.1428571428571425E-2</v>
      </c>
      <c r="N38" s="3">
        <f t="shared" si="6"/>
        <v>0</v>
      </c>
      <c r="O38" s="3">
        <f t="shared" si="6"/>
        <v>0</v>
      </c>
      <c r="P38" s="3">
        <f t="shared" si="6"/>
        <v>7.1428571428571425E-2</v>
      </c>
      <c r="Q38" s="3">
        <f t="shared" si="6"/>
        <v>0</v>
      </c>
      <c r="R38" s="3">
        <f t="shared" si="6"/>
        <v>0</v>
      </c>
      <c r="S38" s="3">
        <f t="shared" si="6"/>
        <v>7.1428571428571425E-2</v>
      </c>
      <c r="T38" s="3">
        <f t="shared" si="6"/>
        <v>0</v>
      </c>
      <c r="U38" s="3">
        <f t="shared" si="6"/>
        <v>7.1428571428571425E-2</v>
      </c>
      <c r="V38" s="3">
        <f t="shared" si="6"/>
        <v>0</v>
      </c>
      <c r="W38" s="3">
        <f t="shared" si="6"/>
        <v>0</v>
      </c>
      <c r="X38" s="3">
        <f t="shared" si="6"/>
        <v>7.1428571428571425E-2</v>
      </c>
      <c r="Y38" s="3">
        <f t="shared" si="6"/>
        <v>7.1428571428571425E-2</v>
      </c>
      <c r="Z38" s="3">
        <f t="shared" si="6"/>
        <v>7.1428571428571425E-2</v>
      </c>
    </row>
    <row r="39" spans="1:26" s="2" customFormat="1" x14ac:dyDescent="0.3">
      <c r="A39" s="11" t="s">
        <v>39</v>
      </c>
      <c r="B39" s="3">
        <f t="shared" ref="B39:Z39" si="7">B33</f>
        <v>0</v>
      </c>
      <c r="C39" s="3">
        <f t="shared" si="7"/>
        <v>0</v>
      </c>
      <c r="D39" s="3">
        <f t="shared" si="7"/>
        <v>0</v>
      </c>
      <c r="E39" s="3">
        <f t="shared" si="7"/>
        <v>0.3010299956639812</v>
      </c>
      <c r="F39" s="3">
        <f t="shared" si="7"/>
        <v>0.3010299956639812</v>
      </c>
      <c r="G39" s="3">
        <f t="shared" si="7"/>
        <v>0.3010299956639812</v>
      </c>
      <c r="H39" s="3">
        <f t="shared" si="7"/>
        <v>0.3010299956639812</v>
      </c>
      <c r="I39" s="3">
        <f t="shared" si="7"/>
        <v>0.3010299956639812</v>
      </c>
      <c r="J39" s="3">
        <f t="shared" si="7"/>
        <v>0.3010299956639812</v>
      </c>
      <c r="K39" s="3">
        <f t="shared" si="7"/>
        <v>0</v>
      </c>
      <c r="L39" s="3">
        <f t="shared" si="7"/>
        <v>0.3010299956639812</v>
      </c>
      <c r="M39" s="3">
        <f t="shared" si="7"/>
        <v>0</v>
      </c>
      <c r="N39" s="3">
        <f t="shared" si="7"/>
        <v>0.3010299956639812</v>
      </c>
      <c r="O39" s="3">
        <f t="shared" si="7"/>
        <v>0.3010299956639812</v>
      </c>
      <c r="P39" s="3">
        <f t="shared" si="7"/>
        <v>0.3010299956639812</v>
      </c>
      <c r="Q39" s="3">
        <f t="shared" si="7"/>
        <v>0.3010299956639812</v>
      </c>
      <c r="R39" s="3">
        <f t="shared" si="7"/>
        <v>0.3010299956639812</v>
      </c>
      <c r="S39" s="3">
        <f t="shared" si="7"/>
        <v>0.3010299956639812</v>
      </c>
      <c r="T39" s="3">
        <f t="shared" si="7"/>
        <v>0.3010299956639812</v>
      </c>
      <c r="U39" s="3">
        <f t="shared" si="7"/>
        <v>0.3010299956639812</v>
      </c>
      <c r="V39" s="3">
        <f t="shared" si="7"/>
        <v>0.3010299956639812</v>
      </c>
      <c r="W39" s="3">
        <f t="shared" si="7"/>
        <v>0.3010299956639812</v>
      </c>
      <c r="X39" s="3">
        <f t="shared" si="7"/>
        <v>0.3010299956639812</v>
      </c>
      <c r="Y39" s="3">
        <f t="shared" si="7"/>
        <v>0</v>
      </c>
      <c r="Z39" s="3">
        <f t="shared" si="7"/>
        <v>0.3010299956639812</v>
      </c>
    </row>
    <row r="40" spans="1:26" s="2" customFormat="1" x14ac:dyDescent="0.3">
      <c r="A40" s="11" t="s">
        <v>40</v>
      </c>
      <c r="B40" s="3">
        <f t="shared" ref="B40:Z40" si="8">B38*B39</f>
        <v>0</v>
      </c>
      <c r="C40" s="3">
        <f t="shared" si="8"/>
        <v>0</v>
      </c>
      <c r="D40" s="3">
        <f t="shared" si="8"/>
        <v>0</v>
      </c>
      <c r="E40" s="3">
        <f>E38*E39</f>
        <v>2.1502142547427227E-2</v>
      </c>
      <c r="F40" s="3">
        <f t="shared" si="8"/>
        <v>2.1502142547427227E-2</v>
      </c>
      <c r="G40" s="3">
        <f t="shared" si="8"/>
        <v>0</v>
      </c>
      <c r="H40" s="3">
        <f t="shared" si="8"/>
        <v>0</v>
      </c>
      <c r="I40" s="3">
        <f t="shared" si="8"/>
        <v>2.1502142547427227E-2</v>
      </c>
      <c r="J40" s="3">
        <f t="shared" si="8"/>
        <v>0</v>
      </c>
      <c r="K40" s="3">
        <f t="shared" si="8"/>
        <v>0</v>
      </c>
      <c r="L40" s="3">
        <f t="shared" si="8"/>
        <v>0</v>
      </c>
      <c r="M40" s="3">
        <f t="shared" si="8"/>
        <v>0</v>
      </c>
      <c r="N40" s="3">
        <f t="shared" si="8"/>
        <v>0</v>
      </c>
      <c r="O40" s="3">
        <f t="shared" si="8"/>
        <v>0</v>
      </c>
      <c r="P40" s="3">
        <f t="shared" si="8"/>
        <v>2.1502142547427227E-2</v>
      </c>
      <c r="Q40" s="3">
        <f t="shared" si="8"/>
        <v>0</v>
      </c>
      <c r="R40" s="3">
        <f t="shared" si="8"/>
        <v>0</v>
      </c>
      <c r="S40" s="3">
        <f t="shared" si="8"/>
        <v>2.1502142547427227E-2</v>
      </c>
      <c r="T40" s="3">
        <f t="shared" si="8"/>
        <v>0</v>
      </c>
      <c r="U40" s="3">
        <f t="shared" si="8"/>
        <v>2.1502142547427227E-2</v>
      </c>
      <c r="V40" s="3">
        <f t="shared" si="8"/>
        <v>0</v>
      </c>
      <c r="W40" s="3">
        <f t="shared" si="8"/>
        <v>0</v>
      </c>
      <c r="X40" s="3">
        <f t="shared" si="8"/>
        <v>2.1502142547427227E-2</v>
      </c>
      <c r="Y40" s="3">
        <f t="shared" si="8"/>
        <v>0</v>
      </c>
      <c r="Z40" s="3">
        <f t="shared" si="8"/>
        <v>2.1502142547427227E-2</v>
      </c>
    </row>
    <row r="42" spans="1:26" x14ac:dyDescent="0.3">
      <c r="A42" s="9" t="s">
        <v>2</v>
      </c>
      <c r="B42" s="4" t="s">
        <v>3</v>
      </c>
    </row>
    <row r="43" spans="1:26" s="2" customFormat="1" x14ac:dyDescent="0.3">
      <c r="A43" s="7" t="s">
        <v>6</v>
      </c>
      <c r="B43" s="7" t="s">
        <v>7</v>
      </c>
      <c r="C43" s="7" t="s">
        <v>8</v>
      </c>
      <c r="D43" s="7" t="s">
        <v>9</v>
      </c>
      <c r="E43" s="7" t="s">
        <v>10</v>
      </c>
      <c r="F43" s="7" t="s">
        <v>11</v>
      </c>
      <c r="G43" s="7" t="s">
        <v>12</v>
      </c>
      <c r="H43" s="7" t="s">
        <v>13</v>
      </c>
      <c r="I43" s="7" t="s">
        <v>14</v>
      </c>
      <c r="J43" s="7" t="s">
        <v>15</v>
      </c>
      <c r="K43" s="7" t="s">
        <v>16</v>
      </c>
      <c r="L43" s="7" t="s">
        <v>17</v>
      </c>
      <c r="M43" s="7" t="s">
        <v>18</v>
      </c>
      <c r="N43" s="7" t="s">
        <v>19</v>
      </c>
      <c r="O43" s="7" t="s">
        <v>20</v>
      </c>
      <c r="P43" s="7" t="s">
        <v>21</v>
      </c>
      <c r="Q43" s="7" t="s">
        <v>22</v>
      </c>
      <c r="R43" s="7" t="s">
        <v>23</v>
      </c>
      <c r="S43" s="7" t="s">
        <v>24</v>
      </c>
      <c r="T43" s="7" t="s">
        <v>25</v>
      </c>
      <c r="U43" s="7" t="s">
        <v>26</v>
      </c>
      <c r="V43" s="7" t="s">
        <v>27</v>
      </c>
      <c r="W43" s="7" t="s">
        <v>28</v>
      </c>
      <c r="X43" s="7" t="s">
        <v>29</v>
      </c>
      <c r="Y43" s="7" t="s">
        <v>30</v>
      </c>
      <c r="Z43" s="7" t="s">
        <v>31</v>
      </c>
    </row>
    <row r="44" spans="1:26" s="2" customFormat="1" x14ac:dyDescent="0.3">
      <c r="A44" s="11" t="s">
        <v>36</v>
      </c>
      <c r="B44" s="3">
        <f t="shared" ref="B44:Z44" si="9">B25</f>
        <v>5.8823529411764705E-2</v>
      </c>
      <c r="C44" s="3">
        <f t="shared" si="9"/>
        <v>5.8823529411764705E-2</v>
      </c>
      <c r="D44" s="3">
        <f t="shared" si="9"/>
        <v>5.8823529411764705E-2</v>
      </c>
      <c r="E44" s="3">
        <f t="shared" si="9"/>
        <v>0</v>
      </c>
      <c r="F44" s="3">
        <f t="shared" si="9"/>
        <v>0</v>
      </c>
      <c r="G44" s="3">
        <f t="shared" si="9"/>
        <v>5.8823529411764705E-2</v>
      </c>
      <c r="H44" s="3">
        <f t="shared" si="9"/>
        <v>5.8823529411764705E-2</v>
      </c>
      <c r="I44" s="3">
        <f t="shared" si="9"/>
        <v>0</v>
      </c>
      <c r="J44" s="3">
        <f t="shared" si="9"/>
        <v>5.8823529411764705E-2</v>
      </c>
      <c r="K44" s="3">
        <f t="shared" si="9"/>
        <v>5.8823529411764705E-2</v>
      </c>
      <c r="L44" s="3">
        <f t="shared" si="9"/>
        <v>5.8823529411764705E-2</v>
      </c>
      <c r="M44" s="3">
        <f t="shared" si="9"/>
        <v>5.8823529411764705E-2</v>
      </c>
      <c r="N44" s="3">
        <f t="shared" si="9"/>
        <v>5.8823529411764705E-2</v>
      </c>
      <c r="O44" s="3">
        <f t="shared" si="9"/>
        <v>5.8823529411764705E-2</v>
      </c>
      <c r="P44" s="3">
        <f t="shared" si="9"/>
        <v>0</v>
      </c>
      <c r="Q44" s="3">
        <f t="shared" si="9"/>
        <v>5.8823529411764705E-2</v>
      </c>
      <c r="R44" s="3">
        <f t="shared" si="9"/>
        <v>5.8823529411764705E-2</v>
      </c>
      <c r="S44" s="3">
        <f t="shared" si="9"/>
        <v>0</v>
      </c>
      <c r="T44" s="3">
        <f t="shared" si="9"/>
        <v>5.8823529411764705E-2</v>
      </c>
      <c r="U44" s="3">
        <f t="shared" si="9"/>
        <v>0</v>
      </c>
      <c r="V44" s="3">
        <f t="shared" si="9"/>
        <v>5.8823529411764705E-2</v>
      </c>
      <c r="W44" s="3">
        <f t="shared" si="9"/>
        <v>5.8823529411764705E-2</v>
      </c>
      <c r="X44" s="3">
        <f t="shared" si="9"/>
        <v>0</v>
      </c>
      <c r="Y44" s="3">
        <f t="shared" si="9"/>
        <v>5.8823529411764705E-2</v>
      </c>
      <c r="Z44" s="3">
        <f t="shared" si="9"/>
        <v>0</v>
      </c>
    </row>
    <row r="45" spans="1:26" s="2" customFormat="1" x14ac:dyDescent="0.3">
      <c r="A45" s="11" t="s">
        <v>39</v>
      </c>
      <c r="B45" s="3">
        <f t="shared" ref="B45:Z45" si="10">B33</f>
        <v>0</v>
      </c>
      <c r="C45" s="3">
        <f t="shared" si="10"/>
        <v>0</v>
      </c>
      <c r="D45" s="3">
        <f t="shared" si="10"/>
        <v>0</v>
      </c>
      <c r="E45" s="3">
        <f t="shared" si="10"/>
        <v>0.3010299956639812</v>
      </c>
      <c r="F45" s="3">
        <f t="shared" si="10"/>
        <v>0.3010299956639812</v>
      </c>
      <c r="G45" s="3">
        <f t="shared" si="10"/>
        <v>0.3010299956639812</v>
      </c>
      <c r="H45" s="3">
        <f t="shared" si="10"/>
        <v>0.3010299956639812</v>
      </c>
      <c r="I45" s="3">
        <f t="shared" si="10"/>
        <v>0.3010299956639812</v>
      </c>
      <c r="J45" s="3">
        <f t="shared" si="10"/>
        <v>0.3010299956639812</v>
      </c>
      <c r="K45" s="3">
        <f t="shared" si="10"/>
        <v>0</v>
      </c>
      <c r="L45" s="3">
        <f t="shared" si="10"/>
        <v>0.3010299956639812</v>
      </c>
      <c r="M45" s="3">
        <f t="shared" si="10"/>
        <v>0</v>
      </c>
      <c r="N45" s="3">
        <f t="shared" si="10"/>
        <v>0.3010299956639812</v>
      </c>
      <c r="O45" s="3">
        <f t="shared" si="10"/>
        <v>0.3010299956639812</v>
      </c>
      <c r="P45" s="3">
        <f t="shared" si="10"/>
        <v>0.3010299956639812</v>
      </c>
      <c r="Q45" s="3">
        <f t="shared" si="10"/>
        <v>0.3010299956639812</v>
      </c>
      <c r="R45" s="3">
        <f t="shared" si="10"/>
        <v>0.3010299956639812</v>
      </c>
      <c r="S45" s="3">
        <f t="shared" si="10"/>
        <v>0.3010299956639812</v>
      </c>
      <c r="T45" s="3">
        <f t="shared" si="10"/>
        <v>0.3010299956639812</v>
      </c>
      <c r="U45" s="3">
        <f t="shared" si="10"/>
        <v>0.3010299956639812</v>
      </c>
      <c r="V45" s="3">
        <f t="shared" si="10"/>
        <v>0.3010299956639812</v>
      </c>
      <c r="W45" s="3">
        <f t="shared" si="10"/>
        <v>0.3010299956639812</v>
      </c>
      <c r="X45" s="3">
        <f t="shared" si="10"/>
        <v>0.3010299956639812</v>
      </c>
      <c r="Y45" s="3">
        <f t="shared" si="10"/>
        <v>0</v>
      </c>
      <c r="Z45" s="3">
        <f t="shared" si="10"/>
        <v>0.3010299956639812</v>
      </c>
    </row>
    <row r="46" spans="1:26" s="2" customFormat="1" x14ac:dyDescent="0.3">
      <c r="A46" s="11" t="s">
        <v>41</v>
      </c>
      <c r="B46" s="3">
        <f t="shared" ref="B46:Z46" si="11">B44*B45</f>
        <v>0</v>
      </c>
      <c r="C46" s="3">
        <f t="shared" si="11"/>
        <v>0</v>
      </c>
      <c r="D46" s="3">
        <f t="shared" si="11"/>
        <v>0</v>
      </c>
      <c r="E46" s="3">
        <f t="shared" si="11"/>
        <v>0</v>
      </c>
      <c r="F46" s="3">
        <f t="shared" si="11"/>
        <v>0</v>
      </c>
      <c r="G46" s="3">
        <f t="shared" si="11"/>
        <v>1.7707646803763601E-2</v>
      </c>
      <c r="H46" s="3">
        <f t="shared" si="11"/>
        <v>1.7707646803763601E-2</v>
      </c>
      <c r="I46" s="3">
        <f t="shared" si="11"/>
        <v>0</v>
      </c>
      <c r="J46" s="3">
        <f t="shared" si="11"/>
        <v>1.7707646803763601E-2</v>
      </c>
      <c r="K46" s="3">
        <f t="shared" si="11"/>
        <v>0</v>
      </c>
      <c r="L46" s="3">
        <f t="shared" si="11"/>
        <v>1.7707646803763601E-2</v>
      </c>
      <c r="M46" s="3">
        <f t="shared" si="11"/>
        <v>0</v>
      </c>
      <c r="N46" s="3">
        <f t="shared" si="11"/>
        <v>1.7707646803763601E-2</v>
      </c>
      <c r="O46" s="3">
        <f t="shared" si="11"/>
        <v>1.7707646803763601E-2</v>
      </c>
      <c r="P46" s="3">
        <f t="shared" si="11"/>
        <v>0</v>
      </c>
      <c r="Q46" s="3">
        <f t="shared" si="11"/>
        <v>1.7707646803763601E-2</v>
      </c>
      <c r="R46" s="3">
        <f t="shared" si="11"/>
        <v>1.7707646803763601E-2</v>
      </c>
      <c r="S46" s="3">
        <f t="shared" si="11"/>
        <v>0</v>
      </c>
      <c r="T46" s="3">
        <f t="shared" si="11"/>
        <v>1.7707646803763601E-2</v>
      </c>
      <c r="U46" s="3">
        <f t="shared" si="11"/>
        <v>0</v>
      </c>
      <c r="V46" s="3">
        <f t="shared" si="11"/>
        <v>1.7707646803763601E-2</v>
      </c>
      <c r="W46" s="3">
        <f t="shared" si="11"/>
        <v>1.7707646803763601E-2</v>
      </c>
      <c r="X46" s="3">
        <f t="shared" si="11"/>
        <v>0</v>
      </c>
      <c r="Y46" s="3">
        <f t="shared" si="11"/>
        <v>0</v>
      </c>
      <c r="Z46" s="3">
        <f t="shared" si="11"/>
        <v>0</v>
      </c>
    </row>
    <row r="48" spans="1:26" x14ac:dyDescent="0.3">
      <c r="A48" s="9" t="s">
        <v>42</v>
      </c>
    </row>
    <row r="49" spans="1:26" s="2" customFormat="1" x14ac:dyDescent="0.3">
      <c r="A49" s="7" t="s">
        <v>6</v>
      </c>
      <c r="B49" s="7" t="s">
        <v>7</v>
      </c>
      <c r="C49" s="7" t="s">
        <v>8</v>
      </c>
      <c r="D49" s="7" t="s">
        <v>9</v>
      </c>
      <c r="E49" s="7" t="s">
        <v>10</v>
      </c>
      <c r="F49" s="7" t="s">
        <v>11</v>
      </c>
      <c r="G49" s="7" t="s">
        <v>12</v>
      </c>
      <c r="H49" s="7" t="s">
        <v>13</v>
      </c>
      <c r="I49" s="7" t="s">
        <v>14</v>
      </c>
      <c r="J49" s="7" t="s">
        <v>15</v>
      </c>
      <c r="K49" s="7" t="s">
        <v>16</v>
      </c>
      <c r="L49" s="7" t="s">
        <v>17</v>
      </c>
      <c r="M49" s="7" t="s">
        <v>18</v>
      </c>
      <c r="N49" s="7" t="s">
        <v>19</v>
      </c>
      <c r="O49" s="7" t="s">
        <v>20</v>
      </c>
      <c r="P49" s="7" t="s">
        <v>21</v>
      </c>
      <c r="Q49" s="7" t="s">
        <v>22</v>
      </c>
      <c r="R49" s="7" t="s">
        <v>23</v>
      </c>
      <c r="S49" s="7" t="s">
        <v>24</v>
      </c>
      <c r="T49" s="7" t="s">
        <v>25</v>
      </c>
      <c r="U49" s="7" t="s">
        <v>26</v>
      </c>
      <c r="V49" s="7" t="s">
        <v>27</v>
      </c>
      <c r="W49" s="7" t="s">
        <v>28</v>
      </c>
      <c r="X49" s="7" t="s">
        <v>29</v>
      </c>
      <c r="Y49" s="7" t="s">
        <v>30</v>
      </c>
      <c r="Z49" s="7" t="s">
        <v>31</v>
      </c>
    </row>
    <row r="50" spans="1:26" s="2" customFormat="1" x14ac:dyDescent="0.3">
      <c r="A50" s="11" t="s">
        <v>0</v>
      </c>
      <c r="B50" s="3">
        <f t="shared" ref="B50:Z50" si="12">B40</f>
        <v>0</v>
      </c>
      <c r="C50" s="3">
        <f t="shared" si="12"/>
        <v>0</v>
      </c>
      <c r="D50" s="3">
        <f t="shared" si="12"/>
        <v>0</v>
      </c>
      <c r="E50" s="3">
        <f t="shared" si="12"/>
        <v>2.1502142547427227E-2</v>
      </c>
      <c r="F50" s="3">
        <f t="shared" si="12"/>
        <v>2.1502142547427227E-2</v>
      </c>
      <c r="G50" s="3">
        <f t="shared" si="12"/>
        <v>0</v>
      </c>
      <c r="H50" s="3">
        <f t="shared" si="12"/>
        <v>0</v>
      </c>
      <c r="I50" s="3">
        <f t="shared" si="12"/>
        <v>2.1502142547427227E-2</v>
      </c>
      <c r="J50" s="3">
        <f t="shared" si="12"/>
        <v>0</v>
      </c>
      <c r="K50" s="3">
        <f t="shared" si="12"/>
        <v>0</v>
      </c>
      <c r="L50" s="3">
        <f t="shared" si="12"/>
        <v>0</v>
      </c>
      <c r="M50" s="3">
        <f t="shared" si="12"/>
        <v>0</v>
      </c>
      <c r="N50" s="3">
        <f t="shared" si="12"/>
        <v>0</v>
      </c>
      <c r="O50" s="3">
        <f t="shared" si="12"/>
        <v>0</v>
      </c>
      <c r="P50" s="3">
        <f t="shared" si="12"/>
        <v>2.1502142547427227E-2</v>
      </c>
      <c r="Q50" s="3">
        <f t="shared" si="12"/>
        <v>0</v>
      </c>
      <c r="R50" s="3">
        <f t="shared" si="12"/>
        <v>0</v>
      </c>
      <c r="S50" s="3">
        <f t="shared" si="12"/>
        <v>2.1502142547427227E-2</v>
      </c>
      <c r="T50" s="3">
        <f t="shared" si="12"/>
        <v>0</v>
      </c>
      <c r="U50" s="3">
        <f t="shared" si="12"/>
        <v>2.1502142547427227E-2</v>
      </c>
      <c r="V50" s="3">
        <f t="shared" si="12"/>
        <v>0</v>
      </c>
      <c r="W50" s="3">
        <f t="shared" si="12"/>
        <v>0</v>
      </c>
      <c r="X50" s="3">
        <f t="shared" si="12"/>
        <v>2.1502142547427227E-2</v>
      </c>
      <c r="Y50" s="3">
        <f t="shared" si="12"/>
        <v>0</v>
      </c>
      <c r="Z50" s="3">
        <f t="shared" si="12"/>
        <v>2.1502142547427227E-2</v>
      </c>
    </row>
    <row r="51" spans="1:26" s="2" customFormat="1" x14ac:dyDescent="0.3">
      <c r="A51" s="11" t="s">
        <v>2</v>
      </c>
      <c r="B51" s="3">
        <f t="shared" ref="B51:Z51" si="13">B46</f>
        <v>0</v>
      </c>
      <c r="C51" s="3">
        <f t="shared" si="13"/>
        <v>0</v>
      </c>
      <c r="D51" s="3">
        <f t="shared" si="13"/>
        <v>0</v>
      </c>
      <c r="E51" s="3">
        <f t="shared" si="13"/>
        <v>0</v>
      </c>
      <c r="F51" s="3">
        <f t="shared" si="13"/>
        <v>0</v>
      </c>
      <c r="G51" s="3">
        <f t="shared" si="13"/>
        <v>1.7707646803763601E-2</v>
      </c>
      <c r="H51" s="3">
        <f t="shared" si="13"/>
        <v>1.7707646803763601E-2</v>
      </c>
      <c r="I51" s="3">
        <f t="shared" si="13"/>
        <v>0</v>
      </c>
      <c r="J51" s="3">
        <f t="shared" si="13"/>
        <v>1.7707646803763601E-2</v>
      </c>
      <c r="K51" s="3">
        <f t="shared" si="13"/>
        <v>0</v>
      </c>
      <c r="L51" s="3">
        <f t="shared" si="13"/>
        <v>1.7707646803763601E-2</v>
      </c>
      <c r="M51" s="3">
        <f t="shared" si="13"/>
        <v>0</v>
      </c>
      <c r="N51" s="3">
        <f t="shared" si="13"/>
        <v>1.7707646803763601E-2</v>
      </c>
      <c r="O51" s="3">
        <f t="shared" si="13"/>
        <v>1.7707646803763601E-2</v>
      </c>
      <c r="P51" s="3">
        <f t="shared" si="13"/>
        <v>0</v>
      </c>
      <c r="Q51" s="3">
        <f t="shared" si="13"/>
        <v>1.7707646803763601E-2</v>
      </c>
      <c r="R51" s="3">
        <f t="shared" si="13"/>
        <v>1.7707646803763601E-2</v>
      </c>
      <c r="S51" s="3">
        <f t="shared" si="13"/>
        <v>0</v>
      </c>
      <c r="T51" s="3">
        <f t="shared" si="13"/>
        <v>1.7707646803763601E-2</v>
      </c>
      <c r="U51" s="3">
        <f t="shared" si="13"/>
        <v>0</v>
      </c>
      <c r="V51" s="3">
        <f t="shared" si="13"/>
        <v>1.7707646803763601E-2</v>
      </c>
      <c r="W51" s="3">
        <f t="shared" si="13"/>
        <v>1.7707646803763601E-2</v>
      </c>
      <c r="X51" s="3">
        <f t="shared" si="13"/>
        <v>0</v>
      </c>
      <c r="Y51" s="3">
        <f t="shared" si="13"/>
        <v>0</v>
      </c>
      <c r="Z51" s="3">
        <f t="shared" si="13"/>
        <v>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 Nguyễn Văn</cp:lastModifiedBy>
  <dcterms:created xsi:type="dcterms:W3CDTF">2026-10-15T03:14:38Z</dcterms:created>
  <dcterms:modified xsi:type="dcterms:W3CDTF">2026-10-14T20:42:28Z</dcterms:modified>
</cp:coreProperties>
</file>